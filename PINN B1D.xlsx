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nvironment\Mathematic\Omri\PROJECTS\PINN report\"/>
    </mc:Choice>
  </mc:AlternateContent>
  <xr:revisionPtr revIDLastSave="0" documentId="13_ncr:1_{C796C165-A208-4D34-8FD4-C3FE818E584F}" xr6:coauthVersionLast="47" xr6:coauthVersionMax="47" xr10:uidLastSave="{00000000-0000-0000-0000-000000000000}"/>
  <bookViews>
    <workbookView xWindow="-120" yWindow="-120" windowWidth="27930" windowHeight="14100" xr2:uid="{6D8531C9-1198-4683-8333-B925F8FD8AAB}"/>
  </bookViews>
  <sheets>
    <sheet name="N_coll effect" sheetId="1" r:id="rId1"/>
    <sheet name="Adam vs LBF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" l="1"/>
  <c r="T39" i="1"/>
  <c r="L14" i="2"/>
  <c r="L15" i="2"/>
  <c r="L13" i="2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8" i="1"/>
  <c r="O9" i="1"/>
  <c r="O10" i="1"/>
  <c r="O11" i="1"/>
  <c r="O12" i="1"/>
  <c r="O13" i="1"/>
  <c r="O14" i="1"/>
  <c r="O15" i="1"/>
  <c r="O16" i="1"/>
  <c r="O7" i="1"/>
  <c r="P22" i="1"/>
  <c r="P21" i="1"/>
  <c r="P20" i="1"/>
  <c r="K19" i="2"/>
  <c r="K18" i="2"/>
  <c r="K17" i="2"/>
  <c r="K16" i="2"/>
  <c r="K15" i="2"/>
  <c r="K14" i="2"/>
  <c r="K13" i="2"/>
  <c r="N37" i="1"/>
  <c r="N36" i="1"/>
  <c r="N35" i="1"/>
  <c r="N34" i="1"/>
  <c r="N33" i="1"/>
  <c r="N59" i="1"/>
  <c r="N64" i="1"/>
  <c r="N63" i="1"/>
  <c r="N62" i="1"/>
  <c r="N61" i="1"/>
  <c r="N60" i="1"/>
  <c r="N58" i="1"/>
  <c r="N57" i="1"/>
  <c r="N66" i="1" s="1"/>
  <c r="N16" i="1"/>
  <c r="N15" i="1"/>
  <c r="N13" i="1"/>
  <c r="N12" i="1"/>
  <c r="N10" i="1"/>
  <c r="N32" i="1"/>
  <c r="N43" i="1" s="1"/>
  <c r="N53" i="1"/>
  <c r="N52" i="1"/>
  <c r="N51" i="1"/>
  <c r="N50" i="1"/>
  <c r="N49" i="1"/>
  <c r="N48" i="1"/>
  <c r="N47" i="1"/>
  <c r="N46" i="1"/>
  <c r="N55" i="1" s="1"/>
  <c r="N14" i="1"/>
  <c r="N27" i="1"/>
  <c r="N26" i="1"/>
  <c r="N25" i="1"/>
  <c r="N24" i="1"/>
  <c r="N23" i="1"/>
  <c r="N22" i="1"/>
  <c r="N21" i="1"/>
  <c r="N20" i="1"/>
  <c r="N11" i="1"/>
  <c r="N9" i="1"/>
  <c r="N8" i="1"/>
  <c r="N17" i="1" s="1"/>
  <c r="N7" i="1"/>
  <c r="N42" i="1" l="1"/>
  <c r="N18" i="1"/>
  <c r="N54" i="1"/>
  <c r="N65" i="1"/>
  <c r="N28" i="1"/>
  <c r="N29" i="1"/>
  <c r="O29" i="1"/>
</calcChain>
</file>

<file path=xl/sharedStrings.xml><?xml version="1.0" encoding="utf-8"?>
<sst xmlns="http://schemas.openxmlformats.org/spreadsheetml/2006/main" count="57" uniqueCount="39">
  <si>
    <t>Nadam</t>
  </si>
  <si>
    <t>NLBFGS</t>
  </si>
  <si>
    <t>Ncoll</t>
  </si>
  <si>
    <t>Nb</t>
  </si>
  <si>
    <t>seed</t>
  </si>
  <si>
    <t>total error</t>
  </si>
  <si>
    <t>av</t>
  </si>
  <si>
    <t>stdev</t>
  </si>
  <si>
    <t>checked</t>
  </si>
  <si>
    <t># ==========================================</t>
  </si>
  <si>
    <t># 1. הגדרות ופרמטרים (Hyperparameters)</t>
  </si>
  <si>
    <t>NU = 0.005 / np.pi</t>
  </si>
  <si>
    <t>T_SHOCK = 1 / np.pi</t>
  </si>
  <si>
    <t>HOLE_CENTER_X = 0.0</t>
  </si>
  <si>
    <t>HOLE_CENTER_T = 0.85</t>
  </si>
  <si>
    <t>HOLE_WIDTH_X = 0.0  # &lt;--- כרגע 0 (מכובה) כדי לראות את כוחו של L-BFGS</t>
  </si>
  <si>
    <t>HOLE_HEIGHT_T = 0.3</t>
  </si>
  <si>
    <t>ROI_T_MIN, ROI_T_MAX = 0.4, 0.6</t>
  </si>
  <si>
    <t>ROI_X_MIN, ROI_X_MAX = -0.2, 0.2</t>
  </si>
  <si>
    <t>N_BOUNDARY = 500</t>
  </si>
  <si>
    <t>N_COLLOCATION = 2500</t>
  </si>
  <si>
    <t>LEARNING_RATE = 0.001</t>
  </si>
  <si>
    <t>EPOCHS_PRETRAIN = 1000</t>
  </si>
  <si>
    <t xml:space="preserve">EPOCHS_MAIN_ADAM = 5000  # Adam יכין את השטח5000  </t>
  </si>
  <si>
    <t xml:space="preserve">MAX_ITER_LBFGS = 50000   # L-BFGS  50000 </t>
  </si>
  <si>
    <t xml:space="preserve">file: </t>
  </si>
  <si>
    <t>B1D_hole_efect_26_04_2023_mixed_optimizer.py</t>
  </si>
  <si>
    <t>UNIFORM sampling</t>
  </si>
  <si>
    <t>NO ADAM</t>
  </si>
  <si>
    <t xml:space="preserve">NO LBFGS </t>
  </si>
  <si>
    <t>good example for spectral bias !!!</t>
  </si>
  <si>
    <t xml:space="preserve">almost no LBFGS </t>
  </si>
  <si>
    <t>comparison the effect of adam steps vs LBFGS ateps on  mixed optimzizer PINN performance</t>
  </si>
  <si>
    <t>Density sampling</t>
  </si>
  <si>
    <t>ratio=0.2</t>
  </si>
  <si>
    <t>ratio=0.4</t>
  </si>
  <si>
    <t>%</t>
  </si>
  <si>
    <t>/raid/users/omri/pinnstf2/CODES/Burger1D/FIGS/mixed_solver_preoperties</t>
  </si>
  <si>
    <t>files 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</si>
</sst>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0" borderId="0" xfId="0" applyFill="1" applyBorder="1"/>
    <xf numFmtId="0" fontId="0" fillId="0" borderId="1" xfId="0" applyBorder="1"/>
    <xf numFmtId="11" fontId="0" fillId="0" borderId="1" xfId="0" applyNumberFormat="1" applyBorder="1"/>
    <xf numFmtId="0" fontId="0" fillId="0" borderId="0" xfId="0" applyBorder="1"/>
    <xf numFmtId="11" fontId="0" fillId="0" borderId="0" xfId="0" applyNumberFormat="1" applyBorder="1"/>
    <xf numFmtId="0" fontId="0" fillId="0" borderId="1" xfId="0" applyFill="1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1" fillId="0" borderId="2" xfId="0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Nadam=5000, N_LFBGS=50000,Npre=1000</a:t>
            </a:r>
          </a:p>
        </c:rich>
      </c:tx>
      <c:layout>
        <c:manualLayout>
          <c:xMode val="edge"/>
          <c:yMode val="edge"/>
          <c:x val="0.18486111111111109"/>
          <c:y val="3.6883260112841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>
        <c:manualLayout>
          <c:layoutTarget val="inner"/>
          <c:xMode val="edge"/>
          <c:yMode val="edge"/>
          <c:x val="0.13187270341207349"/>
          <c:y val="0.15213793103448278"/>
          <c:w val="0.80590507436570424"/>
          <c:h val="0.6440767490270613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'N_coll effect'!$S$5:$S$9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'N_coll effect'!$T$5:$T$9</c:f>
              <c:numCache>
                <c:formatCode>General</c:formatCode>
                <c:ptCount val="5"/>
                <c:pt idx="0">
                  <c:v>0.48090000000000011</c:v>
                </c:pt>
                <c:pt idx="1">
                  <c:v>0.38889999999999997</c:v>
                </c:pt>
                <c:pt idx="2">
                  <c:v>0.33733333333333332</c:v>
                </c:pt>
                <c:pt idx="3">
                  <c:v>0.22837499999999999</c:v>
                </c:pt>
                <c:pt idx="4">
                  <c:v>4.9284999999999995E-2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04-4851-9B72-B528AD228A8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'N_coll effect'!$S$5:$S$9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'N_coll effect'!$U$5:$U$9</c:f>
              <c:numCache>
                <c:formatCode>General</c:formatCode>
                <c:ptCount val="5"/>
                <c:pt idx="0">
                  <c:v>0.32525936659157939</c:v>
                </c:pt>
                <c:pt idx="1">
                  <c:v>0.24572381709088426</c:v>
                </c:pt>
                <c:pt idx="2">
                  <c:v>6.7240860593342916E-2</c:v>
                </c:pt>
                <c:pt idx="3">
                  <c:v>0.12522315794498351</c:v>
                </c:pt>
                <c:pt idx="4">
                  <c:v>0.1336307185599821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04-4851-9B72-B528AD228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786527"/>
        <c:axId val="1670790367"/>
      </c:scatterChart>
      <c:valAx>
        <c:axId val="167078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collocation 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670790367"/>
        <c:crosses val="autoZero"/>
        <c:crossBetween val="midCat"/>
      </c:valAx>
      <c:valAx>
        <c:axId val="16707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error</a:t>
                </a:r>
                <a:r>
                  <a:rPr lang="en-US" baseline="0"/>
                  <a:t> (1 seeds)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67078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504825</xdr:colOff>
      <xdr:row>14</xdr:row>
      <xdr:rowOff>166687</xdr:rowOff>
    </xdr:from>
    <xdr:to>
      <xdr:col>28</xdr:col>
      <xdr:colOff>200025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13766-014C-AABD-4542-A111EF88C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B1DC-6E4B-419B-AB42-4AB904DBAC9F}">
  <dimension ref="A1:U66"/>
  <sheetViews>
    <sheetView tabSelected="1" workbookViewId="0">
      <selection activeCell="Q31" sqref="Q31"/>
    </sheetView>
  </sheetViews>
  <sheetFormatPr defaultRowHeight="15" x14ac:dyDescent="0.25"/>
  <sheetData>
    <row r="1" spans="1:21" x14ac:dyDescent="0.25">
      <c r="A1" t="s">
        <v>25</v>
      </c>
      <c r="B1" t="s">
        <v>26</v>
      </c>
      <c r="G1" t="s">
        <v>38</v>
      </c>
      <c r="H1" t="s">
        <v>37</v>
      </c>
    </row>
    <row r="2" spans="1:21" x14ac:dyDescent="0.25">
      <c r="A2" t="s">
        <v>9</v>
      </c>
    </row>
    <row r="3" spans="1:21" x14ac:dyDescent="0.25">
      <c r="A3" t="s">
        <v>10</v>
      </c>
    </row>
    <row r="4" spans="1:21" x14ac:dyDescent="0.25">
      <c r="A4" t="s">
        <v>9</v>
      </c>
    </row>
    <row r="5" spans="1:21" x14ac:dyDescent="0.25">
      <c r="A5" t="s">
        <v>11</v>
      </c>
      <c r="H5" s="9"/>
      <c r="I5" s="9" t="s">
        <v>4</v>
      </c>
      <c r="J5" s="9" t="s">
        <v>0</v>
      </c>
      <c r="K5" s="9" t="s">
        <v>1</v>
      </c>
      <c r="L5" s="9" t="s">
        <v>2</v>
      </c>
      <c r="M5" s="9" t="s">
        <v>3</v>
      </c>
      <c r="N5" s="9" t="s">
        <v>5</v>
      </c>
      <c r="O5" s="9" t="s">
        <v>36</v>
      </c>
      <c r="P5" s="9" t="s">
        <v>33</v>
      </c>
      <c r="Q5" s="9" t="s">
        <v>33</v>
      </c>
      <c r="S5">
        <v>100</v>
      </c>
      <c r="T5">
        <v>0.48090000000000011</v>
      </c>
      <c r="U5">
        <v>0.32525936659157939</v>
      </c>
    </row>
    <row r="6" spans="1:21" ht="15.75" thickBot="1" x14ac:dyDescent="0.3">
      <c r="A6" t="s">
        <v>12</v>
      </c>
      <c r="H6" s="8" t="s">
        <v>8</v>
      </c>
      <c r="I6" s="8"/>
      <c r="J6" s="8"/>
      <c r="K6" s="8"/>
      <c r="L6" s="8">
        <v>100</v>
      </c>
      <c r="M6" s="8"/>
      <c r="N6" s="8"/>
      <c r="P6" t="s">
        <v>34</v>
      </c>
      <c r="Q6" t="s">
        <v>35</v>
      </c>
      <c r="S6">
        <v>1000</v>
      </c>
      <c r="T6">
        <v>0.38889999999999997</v>
      </c>
      <c r="U6">
        <v>0.24572381709088426</v>
      </c>
    </row>
    <row r="7" spans="1:21" ht="15.75" thickTop="1" x14ac:dyDescent="0.25">
      <c r="I7">
        <v>1</v>
      </c>
      <c r="J7">
        <v>5000</v>
      </c>
      <c r="K7">
        <v>50000</v>
      </c>
      <c r="L7">
        <v>100</v>
      </c>
      <c r="M7">
        <v>500</v>
      </c>
      <c r="N7" s="1">
        <f>9.35*10^-1</f>
        <v>0.93500000000000005</v>
      </c>
      <c r="O7" s="12">
        <f>N7*100</f>
        <v>93.5</v>
      </c>
      <c r="S7">
        <v>2500</v>
      </c>
      <c r="T7">
        <v>0.33733333333333332</v>
      </c>
      <c r="U7">
        <v>6.7240860593342916E-2</v>
      </c>
    </row>
    <row r="8" spans="1:21" x14ac:dyDescent="0.25">
      <c r="A8" t="s">
        <v>13</v>
      </c>
      <c r="I8">
        <v>2</v>
      </c>
      <c r="J8">
        <v>5000</v>
      </c>
      <c r="K8">
        <v>50000</v>
      </c>
      <c r="L8">
        <v>100</v>
      </c>
      <c r="M8">
        <v>500</v>
      </c>
      <c r="N8" s="1">
        <f>3.38*10^-1</f>
        <v>0.33800000000000002</v>
      </c>
      <c r="O8" s="12">
        <f t="shared" ref="O8:O64" si="0">N8*100</f>
        <v>33.800000000000004</v>
      </c>
      <c r="S8">
        <v>5000</v>
      </c>
      <c r="T8">
        <v>0.22837499999999999</v>
      </c>
      <c r="U8">
        <v>0.12522315794498351</v>
      </c>
    </row>
    <row r="9" spans="1:21" x14ac:dyDescent="0.25">
      <c r="A9" t="s">
        <v>14</v>
      </c>
      <c r="I9">
        <v>3</v>
      </c>
      <c r="J9">
        <v>5000</v>
      </c>
      <c r="K9">
        <v>50000</v>
      </c>
      <c r="L9">
        <v>100</v>
      </c>
      <c r="M9">
        <v>500</v>
      </c>
      <c r="N9" s="1">
        <f>1.98*10^-1</f>
        <v>0.19800000000000001</v>
      </c>
      <c r="O9" s="12">
        <f t="shared" si="0"/>
        <v>19.8</v>
      </c>
      <c r="S9">
        <v>10000</v>
      </c>
      <c r="T9">
        <v>4.9284999999999995E-2</v>
      </c>
      <c r="U9">
        <v>0.1336307185599821</v>
      </c>
    </row>
    <row r="10" spans="1:21" x14ac:dyDescent="0.25">
      <c r="A10" t="s">
        <v>15</v>
      </c>
      <c r="I10">
        <v>4</v>
      </c>
      <c r="J10">
        <v>5000</v>
      </c>
      <c r="K10">
        <v>50000</v>
      </c>
      <c r="L10">
        <v>100</v>
      </c>
      <c r="M10">
        <v>500</v>
      </c>
      <c r="N10" s="1">
        <f>2.98*10^-1</f>
        <v>0.29799999999999999</v>
      </c>
      <c r="O10" s="12">
        <f t="shared" si="0"/>
        <v>29.799999999999997</v>
      </c>
    </row>
    <row r="11" spans="1:21" x14ac:dyDescent="0.25">
      <c r="A11" t="s">
        <v>16</v>
      </c>
      <c r="I11" s="5">
        <v>5</v>
      </c>
      <c r="J11" s="5">
        <v>5000</v>
      </c>
      <c r="K11" s="5">
        <v>50000</v>
      </c>
      <c r="L11" s="5">
        <v>100</v>
      </c>
      <c r="M11" s="5">
        <v>500</v>
      </c>
      <c r="N11" s="6">
        <f>2.57*10^-1</f>
        <v>0.25700000000000001</v>
      </c>
      <c r="O11" s="12">
        <f t="shared" si="0"/>
        <v>25.7</v>
      </c>
    </row>
    <row r="12" spans="1:21" x14ac:dyDescent="0.25">
      <c r="I12" s="2">
        <v>6</v>
      </c>
      <c r="J12" s="5">
        <v>5000</v>
      </c>
      <c r="K12" s="5">
        <v>50000</v>
      </c>
      <c r="L12" s="5">
        <v>100</v>
      </c>
      <c r="M12" s="5">
        <v>500</v>
      </c>
      <c r="N12">
        <f>7.9*10^-1</f>
        <v>0.79</v>
      </c>
      <c r="O12" s="12">
        <f t="shared" si="0"/>
        <v>79</v>
      </c>
    </row>
    <row r="13" spans="1:21" x14ac:dyDescent="0.25">
      <c r="A13" t="s">
        <v>17</v>
      </c>
      <c r="I13" s="2">
        <v>7</v>
      </c>
      <c r="J13" s="5">
        <v>5000</v>
      </c>
      <c r="K13" s="5">
        <v>50000</v>
      </c>
      <c r="L13" s="5">
        <v>100</v>
      </c>
      <c r="M13" s="5">
        <v>500</v>
      </c>
      <c r="N13">
        <f>2.57*10^-1</f>
        <v>0.25700000000000001</v>
      </c>
      <c r="O13" s="12">
        <f t="shared" si="0"/>
        <v>25.7</v>
      </c>
    </row>
    <row r="14" spans="1:21" x14ac:dyDescent="0.25">
      <c r="A14" t="s">
        <v>18</v>
      </c>
      <c r="I14" s="2">
        <v>8</v>
      </c>
      <c r="J14" s="5">
        <v>5000</v>
      </c>
      <c r="K14" s="5">
        <v>50000</v>
      </c>
      <c r="L14" s="5">
        <v>100</v>
      </c>
      <c r="M14" s="5">
        <v>500</v>
      </c>
      <c r="N14">
        <f>2.88*10^-1</f>
        <v>0.28799999999999998</v>
      </c>
      <c r="O14" s="12">
        <f t="shared" si="0"/>
        <v>28.799999999999997</v>
      </c>
    </row>
    <row r="15" spans="1:21" x14ac:dyDescent="0.25">
      <c r="I15">
        <v>9</v>
      </c>
      <c r="J15" s="5">
        <v>5000</v>
      </c>
      <c r="K15" s="5">
        <v>50000</v>
      </c>
      <c r="L15" s="5">
        <v>100</v>
      </c>
      <c r="M15" s="5">
        <v>500</v>
      </c>
      <c r="N15">
        <f>3.9*10^-1</f>
        <v>0.39</v>
      </c>
      <c r="O15" s="12">
        <f t="shared" si="0"/>
        <v>39</v>
      </c>
    </row>
    <row r="16" spans="1:21" x14ac:dyDescent="0.25">
      <c r="A16" t="s">
        <v>19</v>
      </c>
      <c r="I16">
        <v>10</v>
      </c>
      <c r="J16" s="5">
        <v>5000</v>
      </c>
      <c r="K16" s="5">
        <v>50000</v>
      </c>
      <c r="L16" s="5">
        <v>100</v>
      </c>
      <c r="M16" s="5">
        <v>500</v>
      </c>
      <c r="N16">
        <f>4.96*10^-1</f>
        <v>0.496</v>
      </c>
      <c r="O16" s="12">
        <f t="shared" si="0"/>
        <v>49.6</v>
      </c>
    </row>
    <row r="17" spans="1:16" x14ac:dyDescent="0.25">
      <c r="A17" t="s">
        <v>20</v>
      </c>
      <c r="H17" t="s">
        <v>6</v>
      </c>
      <c r="N17" s="1">
        <f>AVERAGE(N7:N16)</f>
        <v>0.42469999999999997</v>
      </c>
      <c r="O17" s="12">
        <f t="shared" si="0"/>
        <v>42.47</v>
      </c>
    </row>
    <row r="18" spans="1:16" x14ac:dyDescent="0.25">
      <c r="A18" t="s">
        <v>21</v>
      </c>
      <c r="H18" t="s">
        <v>7</v>
      </c>
      <c r="N18" s="1">
        <f>STDEV(N7:N16)</f>
        <v>0.24721427952284647</v>
      </c>
      <c r="O18" s="12">
        <f t="shared" si="0"/>
        <v>24.721427952284646</v>
      </c>
    </row>
    <row r="19" spans="1:16" ht="15.75" thickBot="1" x14ac:dyDescent="0.3">
      <c r="A19" t="s">
        <v>22</v>
      </c>
      <c r="H19" t="s">
        <v>8</v>
      </c>
      <c r="L19">
        <v>1000</v>
      </c>
      <c r="O19" s="12">
        <f t="shared" si="0"/>
        <v>0</v>
      </c>
    </row>
    <row r="20" spans="1:16" ht="15.75" thickTop="1" x14ac:dyDescent="0.25">
      <c r="A20" t="s">
        <v>23</v>
      </c>
      <c r="H20" s="3"/>
      <c r="I20" s="7">
        <v>1</v>
      </c>
      <c r="J20" s="3">
        <v>5000</v>
      </c>
      <c r="K20" s="3">
        <v>50000</v>
      </c>
      <c r="L20" s="3">
        <v>1000</v>
      </c>
      <c r="M20" s="3">
        <v>500</v>
      </c>
      <c r="N20" s="4">
        <f>5.78*10^-1</f>
        <v>0.57800000000000007</v>
      </c>
      <c r="O20" s="12">
        <f t="shared" si="0"/>
        <v>57.800000000000004</v>
      </c>
      <c r="P20">
        <f>4.15*10^-1</f>
        <v>0.41500000000000004</v>
      </c>
    </row>
    <row r="21" spans="1:16" x14ac:dyDescent="0.25">
      <c r="A21" t="s">
        <v>24</v>
      </c>
      <c r="I21" s="2">
        <v>2</v>
      </c>
      <c r="J21">
        <v>5000</v>
      </c>
      <c r="K21">
        <v>50000</v>
      </c>
      <c r="L21">
        <v>1000</v>
      </c>
      <c r="M21">
        <v>500</v>
      </c>
      <c r="N21" s="1">
        <f>2.3*10^-1</f>
        <v>0.22999999999999998</v>
      </c>
      <c r="O21" s="12">
        <f t="shared" si="0"/>
        <v>23</v>
      </c>
      <c r="P21">
        <f>3.04*10^-1</f>
        <v>0.30400000000000005</v>
      </c>
    </row>
    <row r="22" spans="1:16" x14ac:dyDescent="0.25">
      <c r="I22" s="2">
        <v>3</v>
      </c>
      <c r="J22">
        <v>5000</v>
      </c>
      <c r="K22">
        <v>50000</v>
      </c>
      <c r="L22">
        <v>1000</v>
      </c>
      <c r="M22">
        <v>500</v>
      </c>
      <c r="N22" s="1">
        <f>7.58*10^-1</f>
        <v>0.75800000000000001</v>
      </c>
      <c r="O22" s="12">
        <f t="shared" si="0"/>
        <v>75.8</v>
      </c>
      <c r="P22">
        <f>2*10^-1</f>
        <v>0.2</v>
      </c>
    </row>
    <row r="23" spans="1:16" x14ac:dyDescent="0.25">
      <c r="A23" t="s">
        <v>27</v>
      </c>
      <c r="I23" s="2">
        <v>4</v>
      </c>
      <c r="J23">
        <v>5000</v>
      </c>
      <c r="K23">
        <v>50000</v>
      </c>
      <c r="L23">
        <v>1000</v>
      </c>
      <c r="M23">
        <v>500</v>
      </c>
      <c r="N23" s="1">
        <f>6.6*10^-1</f>
        <v>0.66</v>
      </c>
      <c r="O23" s="12">
        <f t="shared" si="0"/>
        <v>66</v>
      </c>
      <c r="P23">
        <v>0.42899999999999999</v>
      </c>
    </row>
    <row r="24" spans="1:16" x14ac:dyDescent="0.25">
      <c r="I24" s="2">
        <v>5</v>
      </c>
      <c r="J24">
        <v>5000</v>
      </c>
      <c r="K24">
        <v>50000</v>
      </c>
      <c r="L24">
        <v>1000</v>
      </c>
      <c r="M24">
        <v>500</v>
      </c>
      <c r="N24" s="1">
        <f>3.6*10^-1</f>
        <v>0.36000000000000004</v>
      </c>
      <c r="O24" s="12">
        <f t="shared" si="0"/>
        <v>36.000000000000007</v>
      </c>
    </row>
    <row r="25" spans="1:16" x14ac:dyDescent="0.25">
      <c r="I25" s="2">
        <v>6</v>
      </c>
      <c r="J25">
        <v>5000</v>
      </c>
      <c r="K25">
        <v>50000</v>
      </c>
      <c r="L25">
        <v>1000</v>
      </c>
      <c r="M25">
        <v>500</v>
      </c>
      <c r="N25" s="1">
        <f>2.5*10^-1</f>
        <v>0.25</v>
      </c>
      <c r="O25" s="12">
        <f t="shared" si="0"/>
        <v>25</v>
      </c>
    </row>
    <row r="26" spans="1:16" x14ac:dyDescent="0.25">
      <c r="I26" s="2">
        <v>7</v>
      </c>
      <c r="J26">
        <v>5000</v>
      </c>
      <c r="K26">
        <v>50000</v>
      </c>
      <c r="L26">
        <v>1000</v>
      </c>
      <c r="M26">
        <v>500</v>
      </c>
      <c r="N26" s="1">
        <f>1.9*10^-1</f>
        <v>0.19</v>
      </c>
      <c r="O26" s="12">
        <f t="shared" si="0"/>
        <v>19</v>
      </c>
    </row>
    <row r="27" spans="1:16" x14ac:dyDescent="0.25">
      <c r="I27" s="2">
        <v>8</v>
      </c>
      <c r="J27">
        <v>5000</v>
      </c>
      <c r="K27">
        <v>50000</v>
      </c>
      <c r="L27">
        <v>1000</v>
      </c>
      <c r="M27">
        <v>500</v>
      </c>
      <c r="N27">
        <f>8.52*10^-2</f>
        <v>8.5199999999999998E-2</v>
      </c>
      <c r="O27" s="12">
        <f t="shared" si="0"/>
        <v>8.52</v>
      </c>
    </row>
    <row r="28" spans="1:16" x14ac:dyDescent="0.25">
      <c r="H28" t="s">
        <v>6</v>
      </c>
      <c r="I28" s="2"/>
      <c r="N28" s="1">
        <f>AVERAGE(N20:N27)</f>
        <v>0.38889999999999997</v>
      </c>
      <c r="O28" s="12">
        <f t="shared" si="0"/>
        <v>38.889999999999993</v>
      </c>
    </row>
    <row r="29" spans="1:16" x14ac:dyDescent="0.25">
      <c r="H29" t="s">
        <v>7</v>
      </c>
      <c r="I29" s="2"/>
      <c r="N29">
        <f ca="1">STDEV(N20:N29)</f>
        <v>0.24572381709088426</v>
      </c>
      <c r="O29" s="12">
        <f t="shared" ca="1" si="0"/>
        <v>19.8</v>
      </c>
    </row>
    <row r="30" spans="1:16" x14ac:dyDescent="0.25">
      <c r="O30" s="12">
        <f t="shared" si="0"/>
        <v>0</v>
      </c>
    </row>
    <row r="31" spans="1:16" ht="15.75" thickBot="1" x14ac:dyDescent="0.3">
      <c r="H31" t="s">
        <v>8</v>
      </c>
      <c r="L31">
        <v>2500</v>
      </c>
      <c r="O31" s="12">
        <f t="shared" si="0"/>
        <v>0</v>
      </c>
    </row>
    <row r="32" spans="1:16" ht="15.75" thickTop="1" x14ac:dyDescent="0.25">
      <c r="H32" s="3"/>
      <c r="I32" s="3">
        <v>1</v>
      </c>
      <c r="J32" s="3">
        <v>5000</v>
      </c>
      <c r="K32" s="3">
        <v>50000</v>
      </c>
      <c r="L32" s="3">
        <v>2500</v>
      </c>
      <c r="M32" s="3">
        <v>500</v>
      </c>
      <c r="N32" s="4">
        <f>3.7*10^-1</f>
        <v>0.37000000000000005</v>
      </c>
      <c r="O32" s="12">
        <f t="shared" si="0"/>
        <v>37.000000000000007</v>
      </c>
    </row>
    <row r="33" spans="8:20" x14ac:dyDescent="0.25">
      <c r="I33">
        <v>2</v>
      </c>
      <c r="J33">
        <v>5000</v>
      </c>
      <c r="K33">
        <v>50000</v>
      </c>
      <c r="L33">
        <v>2500</v>
      </c>
      <c r="M33">
        <v>500</v>
      </c>
      <c r="N33" s="1">
        <f>3.82*10^-1</f>
        <v>0.38200000000000001</v>
      </c>
      <c r="O33" s="12">
        <f t="shared" si="0"/>
        <v>38.200000000000003</v>
      </c>
    </row>
    <row r="34" spans="8:20" x14ac:dyDescent="0.25">
      <c r="I34">
        <v>3</v>
      </c>
      <c r="J34">
        <v>5000</v>
      </c>
      <c r="K34">
        <v>50000</v>
      </c>
      <c r="L34">
        <v>2500</v>
      </c>
      <c r="M34">
        <v>500</v>
      </c>
      <c r="N34">
        <f>2.6*10^-1</f>
        <v>0.26</v>
      </c>
      <c r="O34" s="12">
        <f t="shared" si="0"/>
        <v>26</v>
      </c>
    </row>
    <row r="35" spans="8:20" x14ac:dyDescent="0.25">
      <c r="I35">
        <v>4</v>
      </c>
      <c r="J35">
        <v>5000</v>
      </c>
      <c r="K35">
        <v>50000</v>
      </c>
      <c r="L35">
        <v>2500</v>
      </c>
      <c r="M35">
        <v>500</v>
      </c>
      <c r="N35" s="1">
        <f>3.7*10^-1</f>
        <v>0.37000000000000005</v>
      </c>
      <c r="O35" s="12">
        <f t="shared" si="0"/>
        <v>37.000000000000007</v>
      </c>
    </row>
    <row r="36" spans="8:20" x14ac:dyDescent="0.25">
      <c r="I36" s="5">
        <v>5</v>
      </c>
      <c r="J36" s="5">
        <v>5000</v>
      </c>
      <c r="K36" s="5">
        <v>50000</v>
      </c>
      <c r="L36">
        <v>2500</v>
      </c>
      <c r="M36" s="5">
        <v>500</v>
      </c>
      <c r="N36" s="6">
        <f>3.04*10^-1</f>
        <v>0.30400000000000005</v>
      </c>
      <c r="O36" s="12">
        <f t="shared" si="0"/>
        <v>30.400000000000006</v>
      </c>
    </row>
    <row r="37" spans="8:20" x14ac:dyDescent="0.25">
      <c r="I37" s="2">
        <v>6</v>
      </c>
      <c r="J37" s="5">
        <v>5000</v>
      </c>
      <c r="K37" s="5">
        <v>50000</v>
      </c>
      <c r="L37">
        <v>2500</v>
      </c>
      <c r="M37" s="5">
        <v>500</v>
      </c>
      <c r="N37">
        <f>2.2*10^-1</f>
        <v>0.22000000000000003</v>
      </c>
      <c r="O37" s="12">
        <f t="shared" si="0"/>
        <v>22.000000000000004</v>
      </c>
    </row>
    <row r="38" spans="8:20" x14ac:dyDescent="0.25">
      <c r="I38" s="2">
        <v>7</v>
      </c>
      <c r="J38" s="5">
        <v>5000</v>
      </c>
      <c r="K38" s="5">
        <v>50000</v>
      </c>
      <c r="L38">
        <v>2500</v>
      </c>
      <c r="M38" s="5">
        <v>500</v>
      </c>
      <c r="O38" s="12">
        <f t="shared" si="0"/>
        <v>0</v>
      </c>
    </row>
    <row r="39" spans="8:20" x14ac:dyDescent="0.25">
      <c r="I39" s="2">
        <v>8</v>
      </c>
      <c r="J39" s="5">
        <v>5000</v>
      </c>
      <c r="K39" s="5">
        <v>50000</v>
      </c>
      <c r="L39">
        <v>2500</v>
      </c>
      <c r="M39" s="5">
        <v>500</v>
      </c>
      <c r="O39" s="12">
        <f t="shared" si="0"/>
        <v>0</v>
      </c>
      <c r="T39">
        <f>1*10^-3*100</f>
        <v>0.1</v>
      </c>
    </row>
    <row r="40" spans="8:20" x14ac:dyDescent="0.25">
      <c r="I40">
        <v>9</v>
      </c>
      <c r="J40" s="5">
        <v>5000</v>
      </c>
      <c r="K40" s="5">
        <v>50000</v>
      </c>
      <c r="L40">
        <v>2500</v>
      </c>
      <c r="M40" s="5">
        <v>500</v>
      </c>
      <c r="O40" s="12">
        <f t="shared" si="0"/>
        <v>0</v>
      </c>
    </row>
    <row r="41" spans="8:20" x14ac:dyDescent="0.25">
      <c r="I41">
        <v>10</v>
      </c>
      <c r="J41" s="5">
        <v>5000</v>
      </c>
      <c r="K41" s="5">
        <v>50000</v>
      </c>
      <c r="L41">
        <v>2500</v>
      </c>
      <c r="M41" s="5">
        <v>500</v>
      </c>
      <c r="O41" s="12">
        <f t="shared" si="0"/>
        <v>0</v>
      </c>
      <c r="R41">
        <f>22/2.7</f>
        <v>8.148148148148147</v>
      </c>
    </row>
    <row r="42" spans="8:20" x14ac:dyDescent="0.25">
      <c r="H42" t="s">
        <v>6</v>
      </c>
      <c r="N42" s="1">
        <f>AVERAGE(N32:N41)</f>
        <v>0.31766666666666671</v>
      </c>
      <c r="O42" s="12">
        <f t="shared" si="0"/>
        <v>31.766666666666669</v>
      </c>
    </row>
    <row r="43" spans="8:20" x14ac:dyDescent="0.25">
      <c r="H43" t="s">
        <v>7</v>
      </c>
      <c r="N43" s="1">
        <f>STDEV(N32:N41)</f>
        <v>6.7331023062676507E-2</v>
      </c>
      <c r="O43" s="12">
        <f t="shared" si="0"/>
        <v>6.7331023062676509</v>
      </c>
    </row>
    <row r="44" spans="8:20" x14ac:dyDescent="0.25">
      <c r="O44" s="12">
        <f t="shared" si="0"/>
        <v>0</v>
      </c>
    </row>
    <row r="45" spans="8:20" ht="15.75" thickBot="1" x14ac:dyDescent="0.3">
      <c r="H45" s="8" t="s">
        <v>8</v>
      </c>
      <c r="L45">
        <v>5000</v>
      </c>
      <c r="O45" s="12">
        <f t="shared" si="0"/>
        <v>0</v>
      </c>
    </row>
    <row r="46" spans="8:20" ht="15.75" thickTop="1" x14ac:dyDescent="0.25">
      <c r="I46" s="3">
        <v>1</v>
      </c>
      <c r="J46" s="3">
        <v>5000</v>
      </c>
      <c r="K46" s="3">
        <v>50000</v>
      </c>
      <c r="L46" s="3">
        <v>5000</v>
      </c>
      <c r="M46" s="3">
        <v>500</v>
      </c>
      <c r="N46" s="4">
        <f>1.96*10^-1</f>
        <v>0.19600000000000001</v>
      </c>
      <c r="O46" s="12">
        <f t="shared" si="0"/>
        <v>19.600000000000001</v>
      </c>
    </row>
    <row r="47" spans="8:20" x14ac:dyDescent="0.25">
      <c r="I47">
        <v>2</v>
      </c>
      <c r="J47">
        <v>5000</v>
      </c>
      <c r="K47">
        <v>50000</v>
      </c>
      <c r="L47">
        <v>5000</v>
      </c>
      <c r="M47">
        <v>500</v>
      </c>
      <c r="N47" s="1">
        <f>1.67*10^-1</f>
        <v>0.16700000000000001</v>
      </c>
      <c r="O47" s="12">
        <f t="shared" si="0"/>
        <v>16.7</v>
      </c>
    </row>
    <row r="48" spans="8:20" x14ac:dyDescent="0.25">
      <c r="I48">
        <v>3</v>
      </c>
      <c r="J48">
        <v>5000</v>
      </c>
      <c r="K48">
        <v>50000</v>
      </c>
      <c r="L48">
        <v>5000</v>
      </c>
      <c r="M48">
        <v>500</v>
      </c>
      <c r="N48" s="1">
        <f>1.41*10^-1</f>
        <v>0.14099999999999999</v>
      </c>
      <c r="O48" s="12">
        <f t="shared" si="0"/>
        <v>14.099999999999998</v>
      </c>
    </row>
    <row r="49" spans="8:15" x14ac:dyDescent="0.25">
      <c r="I49">
        <v>4</v>
      </c>
      <c r="J49">
        <v>5000</v>
      </c>
      <c r="K49">
        <v>50000</v>
      </c>
      <c r="L49">
        <v>5000</v>
      </c>
      <c r="M49">
        <v>500</v>
      </c>
      <c r="N49">
        <f>5*10^-1</f>
        <v>0.5</v>
      </c>
      <c r="O49" s="12">
        <f t="shared" si="0"/>
        <v>50</v>
      </c>
    </row>
    <row r="50" spans="8:15" x14ac:dyDescent="0.25">
      <c r="I50">
        <v>5</v>
      </c>
      <c r="J50">
        <v>5000</v>
      </c>
      <c r="K50">
        <v>50000</v>
      </c>
      <c r="L50">
        <v>5000</v>
      </c>
      <c r="M50">
        <v>500</v>
      </c>
      <c r="N50">
        <f>3.21*10^-1</f>
        <v>0.32100000000000001</v>
      </c>
      <c r="O50" s="12">
        <f t="shared" si="0"/>
        <v>32.1</v>
      </c>
    </row>
    <row r="51" spans="8:15" x14ac:dyDescent="0.25">
      <c r="I51">
        <v>6</v>
      </c>
      <c r="J51">
        <v>5000</v>
      </c>
      <c r="K51">
        <v>50000</v>
      </c>
      <c r="L51">
        <v>5000</v>
      </c>
      <c r="M51">
        <v>500</v>
      </c>
      <c r="N51">
        <f>1.6*10^-1</f>
        <v>0.16000000000000003</v>
      </c>
      <c r="O51" s="12">
        <f t="shared" si="0"/>
        <v>16.000000000000004</v>
      </c>
    </row>
    <row r="52" spans="8:15" x14ac:dyDescent="0.25">
      <c r="I52">
        <v>7</v>
      </c>
      <c r="J52">
        <v>5000</v>
      </c>
      <c r="K52">
        <v>50000</v>
      </c>
      <c r="L52">
        <v>5000</v>
      </c>
      <c r="M52">
        <v>500</v>
      </c>
      <c r="N52">
        <f>1.28*10^-1</f>
        <v>0.128</v>
      </c>
      <c r="O52" s="12">
        <f t="shared" si="0"/>
        <v>12.8</v>
      </c>
    </row>
    <row r="53" spans="8:15" x14ac:dyDescent="0.25">
      <c r="I53">
        <v>8</v>
      </c>
      <c r="J53">
        <v>5000</v>
      </c>
      <c r="K53">
        <v>50000</v>
      </c>
      <c r="L53">
        <v>5000</v>
      </c>
      <c r="M53">
        <v>500</v>
      </c>
      <c r="N53">
        <f>2.14*10^-1</f>
        <v>0.21400000000000002</v>
      </c>
      <c r="O53" s="12">
        <f t="shared" si="0"/>
        <v>21.400000000000002</v>
      </c>
    </row>
    <row r="54" spans="8:15" x14ac:dyDescent="0.25">
      <c r="N54" s="1">
        <f>AVERAGE(N46:N53)</f>
        <v>0.22837499999999999</v>
      </c>
      <c r="O54" s="12">
        <f t="shared" si="0"/>
        <v>22.837499999999999</v>
      </c>
    </row>
    <row r="55" spans="8:15" x14ac:dyDescent="0.25">
      <c r="N55">
        <f>STDEV(N46:N53)</f>
        <v>0.12522315794498351</v>
      </c>
      <c r="O55" s="12">
        <f t="shared" si="0"/>
        <v>12.522315794498351</v>
      </c>
    </row>
    <row r="56" spans="8:15" ht="15.75" thickBot="1" x14ac:dyDescent="0.3">
      <c r="H56" s="8" t="s">
        <v>8</v>
      </c>
      <c r="L56">
        <v>10000</v>
      </c>
      <c r="O56" s="12">
        <f t="shared" si="0"/>
        <v>0</v>
      </c>
    </row>
    <row r="57" spans="8:15" ht="15.75" thickTop="1" x14ac:dyDescent="0.25">
      <c r="I57" s="3">
        <v>1</v>
      </c>
      <c r="J57" s="3">
        <v>5000</v>
      </c>
      <c r="K57" s="3">
        <v>50000</v>
      </c>
      <c r="L57" s="3">
        <v>10000</v>
      </c>
      <c r="M57" s="3">
        <v>500</v>
      </c>
      <c r="N57">
        <f>1.07*10^-3</f>
        <v>1.07E-3</v>
      </c>
      <c r="O57" s="12">
        <f t="shared" si="0"/>
        <v>0.107</v>
      </c>
    </row>
    <row r="58" spans="8:15" x14ac:dyDescent="0.25">
      <c r="I58">
        <v>2</v>
      </c>
      <c r="J58">
        <v>5000</v>
      </c>
      <c r="K58">
        <v>50000</v>
      </c>
      <c r="L58">
        <v>10000</v>
      </c>
      <c r="M58">
        <v>500</v>
      </c>
      <c r="N58">
        <f>2.15*10^-3</f>
        <v>2.15E-3</v>
      </c>
      <c r="O58" s="12">
        <f t="shared" si="0"/>
        <v>0.215</v>
      </c>
    </row>
    <row r="59" spans="8:15" x14ac:dyDescent="0.25">
      <c r="I59">
        <v>3</v>
      </c>
      <c r="J59">
        <v>5000</v>
      </c>
      <c r="K59">
        <v>50000</v>
      </c>
      <c r="L59">
        <v>10000</v>
      </c>
      <c r="M59">
        <v>500</v>
      </c>
      <c r="N59">
        <f>3.81*10^-1</f>
        <v>0.38100000000000001</v>
      </c>
      <c r="O59" s="12">
        <f t="shared" si="0"/>
        <v>38.1</v>
      </c>
    </row>
    <row r="60" spans="8:15" x14ac:dyDescent="0.25">
      <c r="I60">
        <v>4</v>
      </c>
      <c r="J60">
        <v>5000</v>
      </c>
      <c r="K60">
        <v>50000</v>
      </c>
      <c r="L60">
        <v>10000</v>
      </c>
      <c r="M60">
        <v>500</v>
      </c>
      <c r="N60">
        <f>2.37*10^-3</f>
        <v>2.3700000000000001E-3</v>
      </c>
      <c r="O60" s="12">
        <f t="shared" si="0"/>
        <v>0.23700000000000002</v>
      </c>
    </row>
    <row r="61" spans="8:15" x14ac:dyDescent="0.25">
      <c r="I61">
        <v>5</v>
      </c>
      <c r="J61">
        <v>5000</v>
      </c>
      <c r="K61">
        <v>50000</v>
      </c>
      <c r="L61">
        <v>10000</v>
      </c>
      <c r="M61">
        <v>500</v>
      </c>
      <c r="N61">
        <f>6.72*10^-3</f>
        <v>6.7200000000000003E-3</v>
      </c>
      <c r="O61" s="12">
        <f t="shared" si="0"/>
        <v>0.67200000000000004</v>
      </c>
    </row>
    <row r="62" spans="8:15" x14ac:dyDescent="0.25">
      <c r="I62">
        <v>6</v>
      </c>
      <c r="J62">
        <v>5000</v>
      </c>
      <c r="K62">
        <v>50000</v>
      </c>
      <c r="L62">
        <v>10000</v>
      </c>
      <c r="M62">
        <v>500</v>
      </c>
      <c r="N62">
        <f>3.8*10^-3</f>
        <v>3.8E-3</v>
      </c>
      <c r="O62" s="12">
        <f t="shared" si="0"/>
        <v>0.38</v>
      </c>
    </row>
    <row r="63" spans="8:15" x14ac:dyDescent="0.25">
      <c r="I63">
        <v>7</v>
      </c>
      <c r="J63">
        <v>5000</v>
      </c>
      <c r="K63">
        <v>50000</v>
      </c>
      <c r="L63">
        <v>10000</v>
      </c>
      <c r="M63">
        <v>500</v>
      </c>
      <c r="N63">
        <f>1.1*10^-3</f>
        <v>1.1000000000000001E-3</v>
      </c>
      <c r="O63" s="12">
        <f t="shared" si="0"/>
        <v>0.11</v>
      </c>
    </row>
    <row r="64" spans="8:15" x14ac:dyDescent="0.25">
      <c r="I64">
        <v>8</v>
      </c>
      <c r="J64">
        <v>5000</v>
      </c>
      <c r="K64">
        <v>50000</v>
      </c>
      <c r="L64">
        <v>10000</v>
      </c>
      <c r="M64">
        <v>500</v>
      </c>
      <c r="N64">
        <f>1.159*10^-3</f>
        <v>1.1590000000000001E-3</v>
      </c>
      <c r="O64" s="12">
        <f t="shared" si="0"/>
        <v>0.1159</v>
      </c>
    </row>
    <row r="65" spans="14:14" x14ac:dyDescent="0.25">
      <c r="N65">
        <f>AVERAGE(N57:N64)</f>
        <v>4.9921125000000004E-2</v>
      </c>
    </row>
    <row r="66" spans="14:14" x14ac:dyDescent="0.25">
      <c r="N66">
        <f>STDEV(N57:N64)</f>
        <v>0.13378959291731979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F8E2-C8ED-42C7-8B62-E7FA3AEAA078}">
  <dimension ref="A1:L19"/>
  <sheetViews>
    <sheetView workbookViewId="0">
      <selection activeCell="N11" sqref="N11"/>
    </sheetView>
  </sheetViews>
  <sheetFormatPr defaultRowHeight="15" x14ac:dyDescent="0.25"/>
  <cols>
    <col min="4" max="4" width="22.140625" customWidth="1"/>
  </cols>
  <sheetData>
    <row r="1" spans="1:12" x14ac:dyDescent="0.25">
      <c r="A1" t="s">
        <v>25</v>
      </c>
      <c r="B1" t="s">
        <v>26</v>
      </c>
    </row>
    <row r="2" spans="1:12" x14ac:dyDescent="0.25">
      <c r="A2" t="s">
        <v>32</v>
      </c>
    </row>
    <row r="11" spans="1:12" x14ac:dyDescent="0.25">
      <c r="E11" s="9"/>
    </row>
    <row r="12" spans="1:12" ht="15.75" thickBot="1" x14ac:dyDescent="0.3">
      <c r="D12" s="8"/>
      <c r="E12" s="8"/>
      <c r="F12" s="11" t="s">
        <v>4</v>
      </c>
      <c r="G12" s="11" t="s">
        <v>0</v>
      </c>
      <c r="H12" s="11" t="s">
        <v>1</v>
      </c>
      <c r="I12" s="11" t="s">
        <v>2</v>
      </c>
      <c r="J12" s="11" t="s">
        <v>3</v>
      </c>
      <c r="K12" s="11" t="s">
        <v>5</v>
      </c>
    </row>
    <row r="13" spans="1:12" ht="15.75" thickTop="1" x14ac:dyDescent="0.25">
      <c r="D13" t="s">
        <v>28</v>
      </c>
      <c r="E13">
        <v>1</v>
      </c>
      <c r="F13">
        <v>1</v>
      </c>
      <c r="G13">
        <v>1</v>
      </c>
      <c r="H13">
        <v>50000</v>
      </c>
      <c r="I13">
        <v>10000</v>
      </c>
      <c r="J13">
        <v>500</v>
      </c>
      <c r="K13">
        <f>2.56*10^-2</f>
        <v>2.5600000000000001E-2</v>
      </c>
      <c r="L13">
        <f>K13*100</f>
        <v>2.56</v>
      </c>
    </row>
    <row r="14" spans="1:12" x14ac:dyDescent="0.25">
      <c r="E14">
        <v>2</v>
      </c>
      <c r="F14">
        <v>1</v>
      </c>
      <c r="G14">
        <v>1</v>
      </c>
      <c r="H14">
        <v>50000</v>
      </c>
      <c r="I14">
        <v>10000</v>
      </c>
      <c r="J14">
        <v>500</v>
      </c>
      <c r="K14">
        <f>1.2*10^-1</f>
        <v>0.12</v>
      </c>
      <c r="L14">
        <f t="shared" ref="L14:L15" si="0">K14*100</f>
        <v>12</v>
      </c>
    </row>
    <row r="15" spans="1:12" ht="15.75" thickBot="1" x14ac:dyDescent="0.3">
      <c r="E15">
        <v>3</v>
      </c>
      <c r="F15">
        <v>1</v>
      </c>
      <c r="G15">
        <v>1</v>
      </c>
      <c r="H15">
        <v>50000</v>
      </c>
      <c r="I15">
        <v>10000</v>
      </c>
      <c r="J15">
        <v>500</v>
      </c>
      <c r="K15">
        <f>2.25*10^-3</f>
        <v>2.2500000000000003E-3</v>
      </c>
      <c r="L15">
        <f t="shared" si="0"/>
        <v>0.22500000000000003</v>
      </c>
    </row>
    <row r="16" spans="1:12" ht="16.5" thickTop="1" thickBot="1" x14ac:dyDescent="0.3">
      <c r="D16" s="10" t="s">
        <v>31</v>
      </c>
      <c r="E16" s="10">
        <v>1</v>
      </c>
      <c r="F16" s="10">
        <v>1</v>
      </c>
      <c r="G16" s="10">
        <v>5000</v>
      </c>
      <c r="H16" s="10">
        <v>1000</v>
      </c>
      <c r="I16" s="10">
        <v>10000</v>
      </c>
      <c r="J16" s="10">
        <v>500</v>
      </c>
      <c r="K16" s="10">
        <f>5.11*10^-1</f>
        <v>0.51100000000000001</v>
      </c>
    </row>
    <row r="17" spans="4:12" ht="15.75" thickTop="1" x14ac:dyDescent="0.25">
      <c r="D17" t="s">
        <v>29</v>
      </c>
      <c r="E17">
        <v>1</v>
      </c>
      <c r="F17">
        <v>1</v>
      </c>
      <c r="G17">
        <v>5000</v>
      </c>
      <c r="H17">
        <v>0</v>
      </c>
      <c r="I17">
        <v>10000</v>
      </c>
      <c r="J17">
        <v>500</v>
      </c>
      <c r="K17">
        <f>4.16*10^-1</f>
        <v>0.41600000000000004</v>
      </c>
    </row>
    <row r="18" spans="4:12" x14ac:dyDescent="0.25">
      <c r="E18">
        <v>2</v>
      </c>
      <c r="F18">
        <v>2</v>
      </c>
      <c r="G18">
        <v>5000</v>
      </c>
      <c r="H18">
        <v>0</v>
      </c>
      <c r="I18">
        <v>10000</v>
      </c>
      <c r="J18">
        <v>500</v>
      </c>
      <c r="K18">
        <f>7.73*10^-1</f>
        <v>0.77300000000000013</v>
      </c>
      <c r="L18" t="s">
        <v>30</v>
      </c>
    </row>
    <row r="19" spans="4:12" x14ac:dyDescent="0.25">
      <c r="K19">
        <f>6.67*10^-1</f>
        <v>0.66700000000000004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N_coll effect</vt:lpstr>
      <vt:lpstr>Adam vs LBFGS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buchman</dc:creator>
  <cp:lastModifiedBy>omri buchman</cp:lastModifiedBy>
  <dcterms:created xsi:type="dcterms:W3CDTF">2026-05-28T11:06:56Z</dcterms:created>
  <dcterms:modified xsi:type="dcterms:W3CDTF">2026-07-21T13:37:11Z</dcterms:modified>
</cp:coreProperties>
</file>