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Environment\Mathematic\Omri\PROJECTS\PINN report\"/>
    </mc:Choice>
  </mc:AlternateContent>
  <xr:revisionPtr revIDLastSave="0" documentId="13_ncr:1_{2C01363D-5848-49BE-A468-06DF54B8A67A}" xr6:coauthVersionLast="47" xr6:coauthVersionMax="47" xr10:uidLastSave="{00000000-0000-0000-0000-000000000000}"/>
  <bookViews>
    <workbookView xWindow="-120" yWindow="-120" windowWidth="27930" windowHeight="14100" activeTab="2" xr2:uid="{E4B3BBCA-C023-44DB-987F-3270C531C5FF}"/>
  </bookViews>
  <sheets>
    <sheet name="sammary" sheetId="10" r:id="rId1"/>
    <sheet name="full code" sheetId="11" r:id="rId2"/>
    <sheet name="Nc_effect on L2 norm" sheetId="12" r:id="rId3"/>
    <sheet name="Sheet1" sheetId="1" r:id="rId4"/>
    <sheet name="seed3" sheetId="2" r:id="rId5"/>
    <sheet name="seed4" sheetId="3" r:id="rId6"/>
    <sheet name="seed5" sheetId="4" r:id="rId7"/>
    <sheet name="seed6" sheetId="5" r:id="rId8"/>
    <sheet name="seed7" sheetId="6" r:id="rId9"/>
    <sheet name="seed8" sheetId="7" r:id="rId10"/>
    <sheet name="seed9" sheetId="8" r:id="rId11"/>
    <sheet name="seed10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2" l="1"/>
  <c r="I25" i="12"/>
  <c r="L14" i="12"/>
  <c r="M25" i="12"/>
  <c r="J26" i="12"/>
  <c r="J25" i="12"/>
  <c r="K26" i="12"/>
  <c r="K25" i="12"/>
  <c r="N26" i="12"/>
  <c r="M26" i="12"/>
  <c r="N25" i="12"/>
  <c r="N14" i="12"/>
  <c r="M14" i="12"/>
  <c r="J13" i="10"/>
  <c r="J12" i="10" l="1"/>
</calcChain>
</file>

<file path=xl/sharedStrings.xml><?xml version="1.0" encoding="utf-8"?>
<sst xmlns="http://schemas.openxmlformats.org/spreadsheetml/2006/main" count="1542" uniqueCount="1276">
  <si>
    <t># ==========================================</t>
  </si>
  <si>
    <t># 1. השתקת אזהרות</t>
  </si>
  <si>
    <t># 2. לוח בקרה - Control Panel</t>
  </si>
  <si>
    <t># תצורת TRR-DC (Spectrum-Guided Dual Collocation)</t>
  </si>
  <si>
    <t># תצורת Trace-Cap Curriculum (החידוש המחקרי!)</t>
  </si>
  <si>
    <t># תצורת אימון</t>
  </si>
  <si>
    <t># תצורת אימון - L-BFGS Chunking</t>
  </si>
  <si>
    <t xml:space="preserve"># 3. Ground Truth (RK45) </t>
  </si>
  <si>
    <t># 4. המודל ואתחול משתנים (הקבוצות S_PDE, S_BC, S_IC)</t>
  </si>
  <si>
    <t># אתחול נקודות BC</t>
  </si>
  <si>
    <t># אתחול נקודות IC</t>
  </si>
  <si>
    <t># מערכים גלובליים (אלו הקבוצות S_BC, S_IC שיתעדכנו)</t>
  </si>
  <si>
    <t># אתחול נקודות PDE</t>
  </si>
  <si>
    <t># 5. פונקציות עזר - Loss ו-Residuals (עבור ה-TRR-DC)</t>
  </si>
  <si>
    <t># 6. מנגנון TRR-DC (Spectrum-Guided Dual Collocation)</t>
  </si>
  <si>
    <t># 7. אימון (Pre-train -&gt; Adam -&gt; LBFGS)</t>
  </si>
  <si>
    <t>TOTAL_STEPS = EPOCHS_ADAM + LBFGS_MAX_ITER</t>
  </si>
  <si>
    <t>global_step = EPOCHS_ADAM</t>
  </si>
  <si>
    <t>chunk_iters = LBFGS_MAX_ITER // LBFGS_CHUNKS</t>
  </si>
  <si>
    <t># 7. הפקת גרפים ואנליזת טרייסים (TRR-DC)</t>
  </si>
  <si>
    <t># --- גרף מאוחד: יחס הטרייסים מול הצטברות הנקודות ---</t>
  </si>
  <si>
    <t># יצירת ציר Y כפול עבור כמות הנקודות</t>
  </si>
  <si>
    <t># איחוד מקרא (Legend) משני הצירים לתוך אובייקט אחד</t>
  </si>
  <si>
    <t>=== Spectrum-Guided Dual Collocation (TRR-DC) PINN ===</t>
  </si>
  <si>
    <t>Equation: STANDARD Burgers | Nu: 0.00159</t>
  </si>
  <si>
    <t>Curriculum: Trace Ratio Cap relaxes from 15.0 to 15.0</t>
  </si>
  <si>
    <t>L-BFGS Config: 5 Chunks</t>
  </si>
  <si>
    <t>--- Stage 0: Pre-training Anchors (1000 epochs) ---</t>
  </si>
  <si>
    <t>--- Stage 1: Adam Training (TRR-DC) ---</t>
  </si>
  <si>
    <t>Step:   500 | Adam  | Ratio/Cap:   0.0/ 15.0 | Error: 57.65% | Add [PDE:0 BC:0 IC:0]</t>
  </si>
  <si>
    <t>Step:  1000 | RAR-A | Ratio/Cap:   0.8/ 15.0 | Error: 49.51% | Add [PDE:100 BC:0 IC:0]</t>
  </si>
  <si>
    <t>Step:  1500 | Adam  | Ratio/Cap:   0.8/ 15.0 | Error: 51.91% | Add [PDE:0 BC:0 IC:0]</t>
  </si>
  <si>
    <t>Step:  2000 | RAR-A | Ratio/Cap:   0.8/ 15.0 | Error: 50.80% | Add [PDE:100 BC:0 IC:0]</t>
  </si>
  <si>
    <t>Step:  2500 | Adam  | Ratio/Cap:   0.8/ 15.0 | Error: 45.45% | Add [PDE:0 BC:0 IC:0]</t>
  </si>
  <si>
    <t>Step:  3000 | RAR-A | Ratio/Cap:   0.9/ 15.0 | Error: 44.05% | Add [PDE:100 BC:0 IC:0]</t>
  </si>
  <si>
    <t>Step:  3500 | Adam  | Ratio/Cap:   0.9/ 15.0 | Error: 46.32% | Add [PDE:0 BC:0 IC:0]</t>
  </si>
  <si>
    <t>Step:  4000 | RAR-A | Ratio/Cap:   1.1/ 15.0 | Error: 45.42% | Add [PDE:100 BC:0 IC:0]</t>
  </si>
  <si>
    <t>Step:  4500 | Adam  | Ratio/Cap:   1.1/ 15.0 | Error: 44.47% | Add [PDE:0 BC:0 IC:0]</t>
  </si>
  <si>
    <t>Step:  5000 | RAR-A | Ratio/Cap:   1.9/ 15.0 | Error: 40.66% | Add [PDE:100 BC:0 IC:0]</t>
  </si>
  <si>
    <t>Step:  5500 | Adam  | Ratio/Cap:   1.9/ 15.0 | Error: 32.73% | Add [PDE:0 BC:0 IC:0]</t>
  </si>
  <si>
    <t>Step:  6000 | RAR-A | Ratio/Cap:  20.6/ 15.0 | Error: 27.99% | Add [PDE:1 BC:49 IC:50]</t>
  </si>
  <si>
    <t>Step:  6500 | Adam  | Ratio/Cap:  20.6/ 15.0 | Error: 23.80% | Add [PDE:0 BC:0 IC:0]</t>
  </si>
  <si>
    <t>Step:  7000 | RAR-A | Ratio/Cap: 111.9/ 15.0 | Error: 22.07% | Add [PDE:0 BC:50 IC:50]</t>
  </si>
  <si>
    <t>Step:  7500 | Adam  | Ratio/Cap: 111.9/ 15.0 | Error: 21.27% | Add [PDE:0 BC:0 IC:0]</t>
  </si>
  <si>
    <t>Step:  8000 | RAR-A | Ratio/Cap:  60.4/ 15.0 | Error: 20.80% | Add [PDE:0 BC:50 IC:50]</t>
  </si>
  <si>
    <t>Step:  8500 | Adam  | Ratio/Cap:  60.4/ 15.0 | Error: 20.57% | Add [PDE:0 BC:0 IC:0]</t>
  </si>
  <si>
    <t>Step:  9000 | RAR-A | Ratio/Cap:   1.4/ 15.0 | Error: 19.99% | Add [PDE:100 BC:0 IC:0]</t>
  </si>
  <si>
    <t>Step:  9500 | Adam  | Ratio/Cap:   1.4/ 15.0 | Error: 22.69% | Add [PDE:0 BC:0 IC:0]</t>
  </si>
  <si>
    <t>Step: 10000 | RAR-A | Ratio/Cap:   6.1/ 15.0 | Error: 22.17% | Add [PDE:100 BC:0 IC:0]</t>
  </si>
  <si>
    <t>Step: 10500 | Adam  | Ratio/Cap:   6.1/ 15.0 | Error: 23.38% | Add [PDE:0 BC:0 IC:0]</t>
  </si>
  <si>
    <t>Step: 11000 | RAR-A | Ratio/Cap:  88.8/ 15.0 | Error: 23.32% | Add [PDE:0 BC:50 IC:50]</t>
  </si>
  <si>
    <t>Step: 11500 | Adam  | Ratio/Cap:  88.8/ 15.0 | Error: 19.60% | Add [PDE:0 BC:0 IC:0]</t>
  </si>
  <si>
    <t>Step: 12000 | RAR-A | Ratio/Cap:   1.4/ 15.0 | Error: 19.57% | Add [PDE:100 BC:0 IC:0]</t>
  </si>
  <si>
    <t>Step: 12500 | Adam  | Ratio/Cap:   1.4/ 15.0 | Error: 19.15% | Add [PDE:0 BC:0 IC:0]</t>
  </si>
  <si>
    <t>Step: 13000 | RAR-A | Ratio/Cap:  19.8/ 15.0 | Error: 19.62% | Add [PDE:1 BC:49 IC:50]</t>
  </si>
  <si>
    <t>Step: 13500 | Adam  | Ratio/Cap:  19.8/ 15.0 | Error: 19.59% | Add [PDE:0 BC:0 IC:0]</t>
  </si>
  <si>
    <t>Step: 14000 | RAR-A | Ratio/Cap:  27.3/ 15.0 | Error: 19.47% | Add [PDE:1 BC:49 IC:50]</t>
  </si>
  <si>
    <t>Step: 14500 | Adam  | Ratio/Cap:  27.3/ 15.0 | Error: 19.44% | Add [PDE:0 BC:0 IC:0]</t>
  </si>
  <si>
    <t>Step: 15000 | RAR-A | Ratio/Cap: 3718.1/ 15.0 | Error: 19.31% | Add [PDE:0 BC:50 IC:50]</t>
  </si>
  <si>
    <t>Step: 15500 | Adam  | Ratio/Cap: 3718.1/ 15.0 | Error: 19.37% | Add [PDE:0 BC:0 IC:0]</t>
  </si>
  <si>
    <t>Step: 16000 | RAR-A | Ratio/Cap: 939.6/ 15.0 | Error: 19.28% | Add [PDE:0 BC:50 IC:50]</t>
  </si>
  <si>
    <t>Step: 16500 | Adam  | Ratio/Cap: 939.6/ 15.0 | Error: 19.22% | Add [PDE:0 BC:0 IC:0]</t>
  </si>
  <si>
    <t>Step: 17000 | RAR-A | Ratio/Cap:  27.2/ 15.0 | Error: 19.34% | Add [PDE:1 BC:49 IC:50]</t>
  </si>
  <si>
    <t>Step: 17500 | Adam  | Ratio/Cap:  27.2/ 15.0 | Error: 19.32% | Add [PDE:0 BC:0 IC:0]</t>
  </si>
  <si>
    <t>Step: 18000 | RAR-A | Ratio/Cap:  10.2/ 15.0 | Error: 19.30% | Add [PDE:100 BC:0 IC:0]</t>
  </si>
  <si>
    <t>Step: 18500 | Adam  | Ratio/Cap:  10.2/ 15.0 | Error: 19.41% | Add [PDE:0 BC:0 IC:0]</t>
  </si>
  <si>
    <t>Step: 19000 | RAR-A | Ratio/Cap:  10.2/ 15.0 | Error: 19.37% | Add [PDE:100 BC:0 IC:0]</t>
  </si>
  <si>
    <t>Step: 19500 | Adam  | Ratio/Cap:  10.2/ 15.0 | Error: 19.48% | Add [PDE:0 BC:0 IC:0]</t>
  </si>
  <si>
    <t>Step: 20000 | RAR-A | Ratio/Cap: 183.0/ 15.0 | Error: 19.49% | Add [PDE:0 BC:50 IC:50]</t>
  </si>
  <si>
    <t>--- Stage 2: Chunked L-BFGS Fine-Tuning ---</t>
  </si>
  <si>
    <t>-- Starting L-BFGS Chunk 1/5 --</t>
  </si>
  <si>
    <t>Step: 20500 | LBFGS | Ratio/Cap: 183.0/ 15.0 | Error: 13.96% | Add [PDE:0 BC:0 IC:0]</t>
  </si>
  <si>
    <t>Step: 21000 | LBFGS | Ratio/Cap: 183.0/ 15.0 | Error:  9.34% | Add [PDE:0 BC:0 IC:0]</t>
  </si>
  <si>
    <t>Step: 21000 | RAR-L | Ratio/Cap:  63.5/ 15.0 | Error:  9.34% | Add [PDE:0 BC:50 IC:50]</t>
  </si>
  <si>
    <t>-- Starting L-BFGS Chunk 2/5 --</t>
  </si>
  <si>
    <t>Step: 21500 | LBFGS | Ratio/Cap:  63.5/ 15.0 | Error:  8.44% | Add [PDE:0 BC:0 IC:0]</t>
  </si>
  <si>
    <t>Step: 22000 | LBFGS | Ratio/Cap:  63.5/ 15.0 | Error:  8.23% | Add [PDE:0 BC:0 IC:0]</t>
  </si>
  <si>
    <t>Step: 22000 | RAR-L | Ratio/Cap:  99.2/ 15.0 | Error:  8.23% | Add [PDE:0 BC:50 IC:50]</t>
  </si>
  <si>
    <t>-- Starting L-BFGS Chunk 3/5 --</t>
  </si>
  <si>
    <t>Step: 22500 | LBFGS | Ratio/Cap:  99.2/ 15.0 | Error:  7.87% | Add [PDE:0 BC:0 IC:0]</t>
  </si>
  <si>
    <t>Step: 23000 | LBFGS | Ratio/Cap:  99.2/ 15.0 | Error:  7.36% | Add [PDE:0 BC:0 IC:0]</t>
  </si>
  <si>
    <t>Step: 23000 | RAR-L | Ratio/Cap:  17.5/ 15.0 | Error:  7.36% | Add [PDE:1 BC:49 IC:50]</t>
  </si>
  <si>
    <t>-- Starting L-BFGS Chunk 4/5 --</t>
  </si>
  <si>
    <t>Step: 23500 | LBFGS | Ratio/Cap:  17.5/ 15.0 | Error:  6.81% | Add [PDE:0 BC:0 IC:0]</t>
  </si>
  <si>
    <t>Step: 24000 | LBFGS | Ratio/Cap:  17.5/ 15.0 | Error:  4.09% | Add [PDE:0 BC:0 IC:0]</t>
  </si>
  <si>
    <t>Step: 24000 | RAR-L | Ratio/Cap:  44.5/ 15.0 | Error:  4.09% | Add [PDE:0 BC:50 IC:50]</t>
  </si>
  <si>
    <t>-- Starting L-BFGS Chunk 5/5 --</t>
  </si>
  <si>
    <t>Step: 24500 | LBFGS | Ratio/Cap:  44.5/ 15.0 | Error:  2.80% | Add [PDE:0 BC:0 IC:0]</t>
  </si>
  <si>
    <t>Step: 25000 | LBFGS | Ratio/Cap:  44.5/ 15.0 | Error:  2.58% | Add [PDE:0 BC:0 IC:0]</t>
  </si>
  <si>
    <t>--- Optimization Complete ---</t>
  </si>
  <si>
    <t>=== Point Sampling Summary ===</t>
  </si>
  <si>
    <t>Total PDE Points Added: 1005</t>
  </si>
  <si>
    <t>Total BC  Points Added: 695</t>
  </si>
  <si>
    <t>Total IC  Points Added: 700</t>
  </si>
  <si>
    <t>Final S_PDE size: 3005</t>
  </si>
  <si>
    <t>Final S_BC  size: 1195</t>
  </si>
  <si>
    <t>Final S_IC  size: 1200</t>
  </si>
  <si>
    <t>Final Validation L2 Error (On Ground Truth): 2.58%</t>
  </si>
  <si>
    <t>Step:   500 | Adam  | Ratio/Cap:   0.0/ 15.0 | Error: 57.09% | Add [PDE:0 BC:0 IC:0]</t>
  </si>
  <si>
    <t>Step:  1000 | RAR-A | Ratio/Cap:   0.7/ 15.0 | Error: 52.37% | Add [PDE:100 BC:0 IC:0]</t>
  </si>
  <si>
    <t>Step:  1500 | Adam  | Ratio/Cap:   0.7/ 15.0 | Error: 50.71% | Add [PDE:0 BC:0 IC:0]</t>
  </si>
  <si>
    <t>Step:  2000 | RAR-A | Ratio/Cap:   1.1/ 15.0 | Error: 48.72% | Add [PDE:100 BC:0 IC:0]</t>
  </si>
  <si>
    <t>Step:  2500 | Adam  | Ratio/Cap:   1.1/ 15.0 | Error: 46.56% | Add [PDE:0 BC:0 IC:0]</t>
  </si>
  <si>
    <t>Step:  3000 | RAR-A | Ratio/Cap:   0.9/ 15.0 | Error: 45.63% | Add [PDE:100 BC:0 IC:0]</t>
  </si>
  <si>
    <t>Step:  3500 | Adam  | Ratio/Cap:   0.9/ 15.0 | Error: 47.28% | Add [PDE:0 BC:0 IC:0]</t>
  </si>
  <si>
    <t>Step:  4000 | RAR-A | Ratio/Cap:   1.0/ 15.0 | Error: 45.22% | Add [PDE:100 BC:0 IC:0]</t>
  </si>
  <si>
    <t>Step:  4500 | Adam  | Ratio/Cap:   1.0/ 15.0 | Error: 44.53% | Add [PDE:0 BC:0 IC:0]</t>
  </si>
  <si>
    <t>Step:  5000 | RAR-A | Ratio/Cap:   1.4/ 15.0 | Error: 40.87% | Add [PDE:100 BC:0 IC:0]</t>
  </si>
  <si>
    <t>Step:  5500 | Adam  | Ratio/Cap:   1.4/ 15.0 | Error: 43.81% | Add [PDE:0 BC:0 IC:0]</t>
  </si>
  <si>
    <t>Step:  6000 | RAR-A | Ratio/Cap:   2.6/ 15.0 | Error: 43.44% | Add [PDE:100 BC:0 IC:0]</t>
  </si>
  <si>
    <t>Step:  6500 | Adam  | Ratio/Cap:   2.6/ 15.0 | Error: 42.87% | Add [PDE:0 BC:0 IC:0]</t>
  </si>
  <si>
    <t>Step:  7000 | RAR-A | Ratio/Cap:   6.5/ 15.0 | Error: 39.76% | Add [PDE:100 BC:0 IC:0]</t>
  </si>
  <si>
    <t>Step:  7500 | Adam  | Ratio/Cap:   6.5/ 15.0 | Error: 36.52% | Add [PDE:0 BC:0 IC:0]</t>
  </si>
  <si>
    <t>Step:  8000 | RAR-A | Ratio/Cap:   5.6/ 15.0 | Error: 33.43% | Add [PDE:100 BC:0 IC:0]</t>
  </si>
  <si>
    <t>Step:  8500 | Adam  | Ratio/Cap:   5.6/ 15.0 | Error: 30.33% | Add [PDE:0 BC:0 IC:0]</t>
  </si>
  <si>
    <t>Step:  9000 | RAR-A | Ratio/Cap:  21.0/ 15.0 | Error: 28.64% | Add [PDE:1 BC:49 IC:50]</t>
  </si>
  <si>
    <t>Step:  9500 | Adam  | Ratio/Cap:  21.0/ 15.0 | Error: 27.56% | Add [PDE:0 BC:0 IC:0]</t>
  </si>
  <si>
    <t>Step: 10000 | RAR-A | Ratio/Cap:   9.3/ 15.0 | Error: 25.94% | Add [PDE:100 BC:0 IC:0]</t>
  </si>
  <si>
    <t>Step: 10500 | Adam  | Ratio/Cap:   9.3/ 15.0 | Error: 25.70% | Add [PDE:0 BC:0 IC:0]</t>
  </si>
  <si>
    <t>Step: 11000 | RAR-A | Ratio/Cap:   4.9/ 15.0 | Error: 25.43% | Add [PDE:100 BC:0 IC:0]</t>
  </si>
  <si>
    <t>Step: 11500 | Adam  | Ratio/Cap:   4.9/ 15.0 | Error: 25.27% | Add [PDE:0 BC:0 IC:0]</t>
  </si>
  <si>
    <t>Step: 12000 | RAR-A | Ratio/Cap:  22.6/ 15.0 | Error: 25.09% | Add [PDE:1 BC:49 IC:50]</t>
  </si>
  <si>
    <t>Step: 12500 | Adam  | Ratio/Cap:  22.6/ 15.0 | Error: 24.97% | Add [PDE:0 BC:0 IC:0]</t>
  </si>
  <si>
    <t>Step: 13000 | RAR-A | Ratio/Cap:  28.9/ 15.0 | Error: 24.82% | Add [PDE:1 BC:49 IC:50]</t>
  </si>
  <si>
    <t>Step: 13500 | Adam  | Ratio/Cap:  28.9/ 15.0 | Error: 24.78% | Add [PDE:0 BC:0 IC:0]</t>
  </si>
  <si>
    <t>Step: 14000 | RAR-A | Ratio/Cap: 2756.4/ 15.0 | Error: 24.72% | Add [PDE:0 BC:50 IC:50]</t>
  </si>
  <si>
    <t>Step: 14500 | Adam  | Ratio/Cap: 2756.4/ 15.0 | Error: 24.57% | Add [PDE:0 BC:0 IC:0]</t>
  </si>
  <si>
    <t>Step: 15000 | RAR-A | Ratio/Cap:   5.1/ 15.0 | Error: 24.49% | Add [PDE:100 BC:0 IC:0]</t>
  </si>
  <si>
    <t>Step: 15500 | Adam  | Ratio/Cap:   5.1/ 15.0 | Error: 18.27% | Add [PDE:0 BC:0 IC:0]</t>
  </si>
  <si>
    <t>Step: 16000 | RAR-A | Ratio/Cap:   8.0/ 15.0 | Error: 17.16% | Add [PDE:100 BC:0 IC:0]</t>
  </si>
  <si>
    <t>Step: 16500 | Adam  | Ratio/Cap:   8.0/ 15.0 | Error: 11.20% | Add [PDE:0 BC:0 IC:0]</t>
  </si>
  <si>
    <t>Step: 17000 | RAR-A | Ratio/Cap:  56.7/ 15.0 | Error: 10.73% | Add [PDE:0 BC:50 IC:50]</t>
  </si>
  <si>
    <t>Step: 17500 | Adam  | Ratio/Cap:  56.7/ 15.0 | Error: 10.51% | Add [PDE:0 BC:0 IC:0]</t>
  </si>
  <si>
    <t>Step: 18000 | RAR-A | Ratio/Cap: 813.3/ 15.0 | Error: 10.21% | Add [PDE:0 BC:50 IC:50]</t>
  </si>
  <si>
    <t>Step: 18500 | Adam  | Ratio/Cap: 813.3/ 15.0 | Error: 10.18% | Add [PDE:0 BC:0 IC:0]</t>
  </si>
  <si>
    <t>Step: 19000 | RAR-A | Ratio/Cap: 317.4/ 15.0 | Error: 10.04% | Add [PDE:0 BC:50 IC:50]</t>
  </si>
  <si>
    <t>Step: 19500 | Adam  | Ratio/Cap: 317.4/ 15.0 | Error:  9.80% | Add [PDE:0 BC:0 IC:0]</t>
  </si>
  <si>
    <t>Step: 20000 | RAR-A | Ratio/Cap: 707.8/ 15.0 | Error:  9.69% | Add [PDE:0 BC:50 IC:50]</t>
  </si>
  <si>
    <t>Step: 20500 | LBFGS | Ratio/Cap: 707.8/ 15.0 | Error:  7.18% | Add [PDE:0 BC:0 IC:0]</t>
  </si>
  <si>
    <t>Step: 21000 | LBFGS | Ratio/Cap: 707.8/ 15.0 | Error:  6.62% | Add [PDE:0 BC:0 IC:0]</t>
  </si>
  <si>
    <t>Step: 21500 | LBFGS | Ratio/Cap: 707.8/ 15.0 | Error:  5.35% | Add [PDE:0 BC:0 IC:0]</t>
  </si>
  <si>
    <t>Step: 22000 | LBFGS | Ratio/Cap: 707.8/ 15.0 | Error:  5.08% | Add [PDE:0 BC:0 IC:0]</t>
  </si>
  <si>
    <t>Step: 22500 | LBFGS | Ratio/Cap: 707.8/ 15.0 | Error:  3.52% | Add [PDE:0 BC:0 IC:0]</t>
  </si>
  <si>
    <t>Step: 23000 | LBFGS | Ratio/Cap: 707.8/ 15.0 | Error:  2.30% | Add [PDE:0 BC:0 IC:0]</t>
  </si>
  <si>
    <t>Step: 23500 | LBFGS | Ratio/Cap: 707.8/ 15.0 | Error:  2.01% | Add [PDE:0 BC:0 IC:0]</t>
  </si>
  <si>
    <t>Step: 24000 | LBFGS | Ratio/Cap: 707.8/ 15.0 | Error:  1.90% | Add [PDE:0 BC:0 IC:0]</t>
  </si>
  <si>
    <t>Step: 24000 | RAR-L | Ratio/Cap: 148.6/ 15.0 | Error:  1.90% | Add [PDE:0 BC:50 IC:50]</t>
  </si>
  <si>
    <t>Step: 24500 | LBFGS | Ratio/Cap: 148.6/ 15.0 | Error:  1.86% | Add [PDE:0 BC:0 IC:0]</t>
  </si>
  <si>
    <t>Step: 25000 | LBFGS | Ratio/Cap: 148.6/ 15.0 | Error:  1.62% | Add [PDE:0 BC:0 IC:0]</t>
  </si>
  <si>
    <t>Step: 25500 | LBFGS | Ratio/Cap: 148.6/ 15.0 | Error:  1.52% | Add [PDE:0 BC:0 IC:0]</t>
  </si>
  <si>
    <t>Step: 26000 | LBFGS | Ratio/Cap: 148.6/ 15.0 | Error:  1.44% | Add [PDE:0 BC:0 IC:0]</t>
  </si>
  <si>
    <t>Step: 26500 | LBFGS | Ratio/Cap: 148.6/ 15.0 | Error:  1.33% | Add [PDE:0 BC:0 IC:0]</t>
  </si>
  <si>
    <t>Step: 27000 | LBFGS | Ratio/Cap: 148.6/ 15.0 | Error:  1.16% | Add [PDE:0 BC:0 IC:0]</t>
  </si>
  <si>
    <t>Step: 27500 | LBFGS | Ratio/Cap: 148.6/ 15.0 | Error:  1.12% | Add [PDE:0 BC:0 IC:0]</t>
  </si>
  <si>
    <t>Step: 28000 | LBFGS | Ratio/Cap: 148.6/ 15.0 | Error:  1.08% | Add [PDE:0 BC:0 IC:0]</t>
  </si>
  <si>
    <t>Step: 28000 | RAR-L | Ratio/Cap:  85.1/ 15.0 | Error:  1.08% | Add [PDE:0 BC:50 IC:50]</t>
  </si>
  <si>
    <t>Step: 28500 | LBFGS | Ratio/Cap:  85.1/ 15.0 | Error:  1.05% | Add [PDE:0 BC:0 IC:0]</t>
  </si>
  <si>
    <t>Step: 29000 | LBFGS | Ratio/Cap:  85.1/ 15.0 | Error:  1.05% | Add [PDE:0 BC:0 IC:0]</t>
  </si>
  <si>
    <t>Step: 29500 | LBFGS | Ratio/Cap:  85.1/ 15.0 | Error:  1.00% | Add [PDE:0 BC:0 IC:0]</t>
  </si>
  <si>
    <t>Step: 30000 | LBFGS | Ratio/Cap:  85.1/ 15.0 | Error:  0.94% | Add [PDE:0 BC:0 IC:0]</t>
  </si>
  <si>
    <t>Step: 30500 | LBFGS | Ratio/Cap:  85.1/ 15.0 | Error:  0.93% | Add [PDE:0 BC:0 IC:0]</t>
  </si>
  <si>
    <t>Step: 31000 | LBFGS | Ratio/Cap:  85.1/ 15.0 | Error:  0.92% | Add [PDE:0 BC:0 IC:0]</t>
  </si>
  <si>
    <t>Step: 31500 | LBFGS | Ratio/Cap:  85.1/ 15.0 | Error:  0.90% | Add [PDE:0 BC:0 IC:0]</t>
  </si>
  <si>
    <t>Step: 32000 | LBFGS | Ratio/Cap:  85.1/ 15.0 | Error:  0.85% | Add [PDE:0 BC:0 IC:0]</t>
  </si>
  <si>
    <t>Step: 32000 | RAR-L | Ratio/Cap: 200.4/ 15.0 | Error:  0.85% | Add [PDE:0 BC:50 IC:50]</t>
  </si>
  <si>
    <t>Step: 32500 | LBFGS | Ratio/Cap: 200.4/ 15.0 | Error:  0.83% | Add [PDE:0 BC:0 IC:0]</t>
  </si>
  <si>
    <t>Step: 33000 | LBFGS | Ratio/Cap: 200.4/ 15.0 | Error:  0.82% | Add [PDE:0 BC:0 IC:0]</t>
  </si>
  <si>
    <t>Step: 33500 | LBFGS | Ratio/Cap: 200.4/ 15.0 | Error:  0.81% | Add [PDE:0 BC:0 IC:0]</t>
  </si>
  <si>
    <t>Step: 34000 | LBFGS | Ratio/Cap: 200.4/ 15.0 | Error:  0.75% | Add [PDE:0 BC:0 IC:0]</t>
  </si>
  <si>
    <t>Step: 34500 | LBFGS | Ratio/Cap: 200.4/ 15.0 | Error:  0.70% | Add [PDE:0 BC:0 IC:0]</t>
  </si>
  <si>
    <t>Step: 35000 | LBFGS | Ratio/Cap: 200.4/ 15.0 | Error:  0.68% | Add [PDE:0 BC:0 IC:0]</t>
  </si>
  <si>
    <t>Step: 35500 | LBFGS | Ratio/Cap: 200.4/ 15.0 | Error:  0.61% | Add [PDE:0 BC:0 IC:0]</t>
  </si>
  <si>
    <t>Step: 36000 | LBFGS | Ratio/Cap: 200.4/ 15.0 | Error:  0.58% | Add [PDE:0 BC:0 IC:0]</t>
  </si>
  <si>
    <t>Step: 36000 | RAR-L | Ratio/Cap: 217.9/ 15.0 | Error:  0.58% | Add [PDE:0 BC:50 IC:50]</t>
  </si>
  <si>
    <t>Step: 36500 | LBFGS | Ratio/Cap: 217.9/ 15.0 | Error:  0.57% | Add [PDE:0 BC:0 IC:0]</t>
  </si>
  <si>
    <t>Step: 37000 | LBFGS | Ratio/Cap: 217.9/ 15.0 | Error:  0.57% | Add [PDE:0 BC:0 IC:0]</t>
  </si>
  <si>
    <t>Step: 37500 | LBFGS | Ratio/Cap: 217.9/ 15.0 | Error:  0.53% | Add [PDE:0 BC:0 IC:0]</t>
  </si>
  <si>
    <t>Step: 38000 | LBFGS | Ratio/Cap: 217.9/ 15.0 | Error:  0.51% | Add [PDE:0 BC:0 IC:0]</t>
  </si>
  <si>
    <t>Step: 38500 | LBFGS | Ratio/Cap: 217.9/ 15.0 | Error:  0.47% | Add [PDE:0 BC:0 IC:0]</t>
  </si>
  <si>
    <t>Step: 39000 | LBFGS | Ratio/Cap: 217.9/ 15.0 | Error:  0.46% | Add [PDE:0 BC:0 IC:0]</t>
  </si>
  <si>
    <t>Step: 39500 | LBFGS | Ratio/Cap: 217.9/ 15.0 | Error:  0.46% | Add [PDE:0 BC:0 IC:0]</t>
  </si>
  <si>
    <t>Step: 40000 | LBFGS | Ratio/Cap: 217.9/ 15.0 | Error:  0.47% | Add [PDE:0 BC:0 IC:0]</t>
  </si>
  <si>
    <t>Total PDE Points Added: 1203</t>
  </si>
  <si>
    <t>Total BC  Points Added: 597</t>
  </si>
  <si>
    <t>Total IC  Points Added: 600</t>
  </si>
  <si>
    <t>Final S_PDE size: 3203</t>
  </si>
  <si>
    <t>Final S_BC  size: 1097</t>
  </si>
  <si>
    <t>Final S_IC  size: 1100</t>
  </si>
  <si>
    <t>Final Validation L2 Error (On Ground Truth): 0.47%</t>
  </si>
  <si>
    <t xml:space="preserve">EQUATION_TYPE   = 'standard'            </t>
  </si>
  <si>
    <t>NU = 0.005 / np.pi</t>
  </si>
  <si>
    <t>N_BOUNDARY = 500</t>
  </si>
  <si>
    <t>N_INITIAL = 500                      # נקודות תנאי התחלה התחלתיות</t>
  </si>
  <si>
    <t xml:space="preserve">N_INITIAL_COLLOCATION = 2000                 </t>
  </si>
  <si>
    <t xml:space="preserve">N_ADD_RAR = 100                        </t>
  </si>
  <si>
    <t xml:space="preserve">REPULSION_RADIUS = 0.01               </t>
  </si>
  <si>
    <t xml:space="preserve">N_DENSE_GRID = 10000                 </t>
  </si>
  <si>
    <t xml:space="preserve">BATCH_SIZE = 500         </t>
  </si>
  <si>
    <t>TRACE_RATIO_CAP_INITIAL = 15.0</t>
  </si>
  <si>
    <t>TRACE_RATIO_CAP_FINAL = 15.0  # הצבת ערכים זהים תשמור על חסם קבוע לאורך כל האימון!</t>
  </si>
  <si>
    <t>ALPHA_GAIN = 2.0</t>
  </si>
  <si>
    <t>LEARNING_RATE = 0.001</t>
  </si>
  <si>
    <t xml:space="preserve">EPOCHS_PRETRAIN = 1000               </t>
  </si>
  <si>
    <t xml:space="preserve">EPOCHS_ADAM = 20000                  </t>
  </si>
  <si>
    <t xml:space="preserve">RESAMPLE_FREQ_ADAM = 1000            </t>
  </si>
  <si>
    <t xml:space="preserve">PRINT_FREQ = 500                     </t>
  </si>
  <si>
    <t xml:space="preserve">NTK_SAMPLE_SIZE = 600               </t>
  </si>
  <si>
    <t>LBFGS_MAX_ITER = 20000</t>
  </si>
  <si>
    <t xml:space="preserve">LBFGS_CHUNKS = 5                     </t>
  </si>
  <si>
    <t>LBFGS_FTOL = 1.0 * np.finfo(float).eps</t>
  </si>
  <si>
    <t>trace_cap_curiculum_pinn3.py</t>
  </si>
  <si>
    <t>FIGS:</t>
  </si>
  <si>
    <t>RAR_with_twist\trace_cap</t>
  </si>
  <si>
    <t>Step:   500 | Adam  | Ratio/Cap:   0.0/ 15.0 | Error: 55.37% | Add [PDE:0 BC:0 IC:0]</t>
  </si>
  <si>
    <t>Step:  1000 | RAR-A | Ratio/Cap:   0.8/ 15.0 | Error: 51.59% | Add [PDE:100 BC:0 IC:0]</t>
  </si>
  <si>
    <t>Step:  1500 | Adam  | Ratio/Cap:   0.8/ 15.0 | Error: 50.63% | Add [PDE:0 BC:0 IC:0]</t>
  </si>
  <si>
    <t>Step:  2000 | RAR-A | Ratio/Cap:   0.7/ 15.0 | Error: 46.40% | Add [PDE:100 BC:0 IC:0]</t>
  </si>
  <si>
    <t>Step:  2500 | Adam  | Ratio/Cap:   0.7/ 15.0 | Error: 47.12% | Add [PDE:0 BC:0 IC:0]</t>
  </si>
  <si>
    <t>Step:  3000 | RAR-A | Ratio/Cap:   1.1/ 15.0 | Error: 45.61% | Add [PDE:100 BC:0 IC:0]</t>
  </si>
  <si>
    <t>Step:  3500 | Adam  | Ratio/Cap:   1.1/ 15.0 | Error: 45.90% | Add [PDE:0 BC:0 IC:0]</t>
  </si>
  <si>
    <t>Step:  4000 | RAR-A | Ratio/Cap:   1.3/ 15.0 | Error: 44.96% | Add [PDE:100 BC:0 IC:0]</t>
  </si>
  <si>
    <t>Step:  4500 | Adam  | Ratio/Cap:   1.3/ 15.0 | Error: 41.77% | Add [PDE:0 BC:0 IC:0]</t>
  </si>
  <si>
    <t>Step:  5000 | RAR-A | Ratio/Cap:   2.7/ 15.0 | Error: 34.39% | Add [PDE:100 BC:0 IC:0]</t>
  </si>
  <si>
    <t>Step:  5500 | Adam  | Ratio/Cap:   2.7/ 15.0 | Error: 38.18% | Add [PDE:0 BC:0 IC:0]</t>
  </si>
  <si>
    <t>Step:  6000 | RAR-A | Ratio/Cap:   1.3/ 15.0 | Error: 36.93% | Add [PDE:100 BC:0 IC:0]</t>
  </si>
  <si>
    <t>Step:  6500 | Adam  | Ratio/Cap:   1.3/ 15.0 | Error: 35.27% | Add [PDE:0 BC:0 IC:0]</t>
  </si>
  <si>
    <t>Step:  7000 | RAR-A | Ratio/Cap:   7.1/ 15.0 | Error: 34.21% | Add [PDE:100 BC:0 IC:0]</t>
  </si>
  <si>
    <t>Step:  7500 | Adam  | Ratio/Cap:   7.1/ 15.0 | Error: 33.69% | Add [PDE:0 BC:0 IC:0]</t>
  </si>
  <si>
    <t>Step:  8000 | RAR-A | Ratio/Cap:   5.1/ 15.0 | Error: 28.90% | Add [PDE:100 BC:0 IC:0]</t>
  </si>
  <si>
    <t>Step:  8500 | Adam  | Ratio/Cap:   5.1/ 15.0 | Error: 24.88% | Add [PDE:0 BC:0 IC:0]</t>
  </si>
  <si>
    <t>Step:  9000 | RAR-A | Ratio/Cap:  53.4/ 15.0 | Error: 23.43% | Add [PDE:0 BC:50 IC:50]</t>
  </si>
  <si>
    <t>Step:  9500 | Adam  | Ratio/Cap:  53.4/ 15.0 | Error: 23.33% | Add [PDE:0 BC:0 IC:0]</t>
  </si>
  <si>
    <t>Step: 10000 | RAR-A | Ratio/Cap:   4.7/ 15.0 | Error: 22.84% | Add [PDE:100 BC:0 IC:0]</t>
  </si>
  <si>
    <t>Step: 10500 | Adam  | Ratio/Cap:   4.7/ 15.0 | Error: 23.67% | Add [PDE:0 BC:0 IC:0]</t>
  </si>
  <si>
    <t>Step: 11000 | RAR-A | Ratio/Cap:  27.9/ 15.0 | Error: 23.86% | Add [PDE:1 BC:49 IC:50]</t>
  </si>
  <si>
    <t>Step: 11500 | Adam  | Ratio/Cap:  27.9/ 15.0 | Error: 23.84% | Add [PDE:0 BC:0 IC:0]</t>
  </si>
  <si>
    <t>Step: 12000 | RAR-A | Ratio/Cap: 214.7/ 15.0 | Error: 23.91% | Add [PDE:0 BC:50 IC:50]</t>
  </si>
  <si>
    <t>Step: 12500 | Adam  | Ratio/Cap: 214.7/ 15.0 | Error: 23.99% | Add [PDE:0 BC:0 IC:0]</t>
  </si>
  <si>
    <t>Step: 13000 | RAR-A | Ratio/Cap:   5.1/ 15.0 | Error: 24.06% | Add [PDE:100 BC:0 IC:0]</t>
  </si>
  <si>
    <t>Step: 13500 | Adam  | Ratio/Cap:   5.1/ 15.0 | Error: 24.48% | Add [PDE:0 BC:0 IC:0]</t>
  </si>
  <si>
    <t>Step: 14000 | RAR-A | Ratio/Cap:  13.9/ 15.0 | Error: 24.43% | Add [PDE:91 BC:4 IC:5]</t>
  </si>
  <si>
    <t>Step: 14500 | Adam  | Ratio/Cap:  13.9/ 15.0 | Error: 28.08% | Add [PDE:0 BC:0 IC:0]</t>
  </si>
  <si>
    <t>Step: 15000 | RAR-A | Ratio/Cap:   3.6/ 15.0 | Error: 28.06% | Add [PDE:100 BC:0 IC:0]</t>
  </si>
  <si>
    <t>Step: 15500 | Adam  | Ratio/Cap:   3.6/ 15.0 | Error: 28.09% | Add [PDE:0 BC:0 IC:0]</t>
  </si>
  <si>
    <t>Step: 16000 | RAR-A | Ratio/Cap:  19.3/ 15.0 | Error: 26.68% | Add [PDE:1 BC:49 IC:50]</t>
  </si>
  <si>
    <t>Step: 16500 | Adam  | Ratio/Cap:  19.3/ 15.0 | Error: 26.74% | Add [PDE:0 BC:0 IC:0]</t>
  </si>
  <si>
    <t>Step: 17000 | RAR-A | Ratio/Cap:   8.7/ 15.0 | Error: 27.00% | Add [PDE:100 BC:0 IC:0]</t>
  </si>
  <si>
    <t>Step: 17500 | Adam  | Ratio/Cap:   8.7/ 15.0 | Error: 27.16% | Add [PDE:0 BC:0 IC:0]</t>
  </si>
  <si>
    <t>Step: 18000 | RAR-A | Ratio/Cap:  54.7/ 15.0 | Error: 27.16% | Add [PDE:0 BC:50 IC:50]</t>
  </si>
  <si>
    <t>Step: 18500 | Adam  | Ratio/Cap:  54.7/ 15.0 | Error: 27.13% | Add [PDE:0 BC:0 IC:0]</t>
  </si>
  <si>
    <t>Step: 19000 | RAR-A | Ratio/Cap: 107.5/ 15.0 | Error: 27.12% | Add [PDE:0 BC:50 IC:50]</t>
  </si>
  <si>
    <t>Step: 19500 | Adam  | Ratio/Cap: 107.5/ 15.0 | Error: 27.27% | Add [PDE:0 BC:0 IC:0]</t>
  </si>
  <si>
    <t>Step: 20000 | RAR-A | Ratio/Cap:   1.1/ 15.0 | Error: 26.92% | Add [PDE:100 BC:0 IC:0]</t>
  </si>
  <si>
    <t>Step: 20500 | LBFGS | Ratio/Cap:   1.1/ 15.0 | Error: 13.56% | Add [PDE:0 BC:0 IC:0]</t>
  </si>
  <si>
    <t>Step: 21000 | LBFGS | Ratio/Cap:   1.1/ 15.0 | Error: 15.22% | Add [PDE:0 BC:0 IC:0]</t>
  </si>
  <si>
    <t>Step: 21500 | LBFGS | Ratio/Cap:   1.1/ 15.0 | Error: 15.57% | Add [PDE:0 BC:0 IC:0]</t>
  </si>
  <si>
    <t>Step: 22000 | LBFGS | Ratio/Cap:   1.1/ 15.0 | Error: 15.52% | Add [PDE:0 BC:0 IC:0]</t>
  </si>
  <si>
    <t>Step: 22500 | LBFGS | Ratio/Cap:   1.1/ 15.0 | Error: 15.48% | Add [PDE:0 BC:0 IC:0]</t>
  </si>
  <si>
    <t>Step: 23000 | LBFGS | Ratio/Cap:   1.1/ 15.0 | Error: 15.43% | Add [PDE:0 BC:0 IC:0]</t>
  </si>
  <si>
    <t>Step: 23500 | LBFGS | Ratio/Cap:   1.1/ 15.0 | Error: 15.42% | Add [PDE:0 BC:0 IC:0]</t>
  </si>
  <si>
    <t>Step: 24000 | LBFGS | Ratio/Cap:   1.1/ 15.0 | Error: 15.44% | Add [PDE:0 BC:0 IC:0]</t>
  </si>
  <si>
    <t>Step: 24000 | RAR-L | Ratio/Cap:   7.1/ 15.0 | Error: 15.44% | Add [PDE:100 BC:0 IC:0]</t>
  </si>
  <si>
    <t>Step: 24500 | LBFGS | Ratio/Cap:   7.1/ 15.0 | Error: 15.41% | Add [PDE:0 BC:0 IC:0]</t>
  </si>
  <si>
    <t>Step: 25000 | LBFGS | Ratio/Cap:   7.1/ 15.0 | Error: 14.44% | Add [PDE:0 BC:0 IC:0]</t>
  </si>
  <si>
    <t>Step: 25500 | LBFGS | Ratio/Cap:   7.1/ 15.0 | Error:  9.95% | Add [PDE:0 BC:0 IC:0]</t>
  </si>
  <si>
    <t>Step: 26000 | LBFGS | Ratio/Cap:   7.1/ 15.0 | Error:  7.42% | Add [PDE:0 BC:0 IC:0]</t>
  </si>
  <si>
    <t>Step: 26500 | LBFGS | Ratio/Cap:   7.1/ 15.0 | Error:  6.48% | Add [PDE:0 BC:0 IC:0]</t>
  </si>
  <si>
    <t>Step: 27000 | LBFGS | Ratio/Cap:   7.1/ 15.0 | Error:  6.07% | Add [PDE:0 BC:0 IC:0]</t>
  </si>
  <si>
    <t>Step: 27500 | LBFGS | Ratio/Cap:   7.1/ 15.0 | Error:  5.84% | Add [PDE:0 BC:0 IC:0]</t>
  </si>
  <si>
    <t>Step: 28000 | LBFGS | Ratio/Cap:   7.1/ 15.0 | Error:  5.27% | Add [PDE:0 BC:0 IC:0]</t>
  </si>
  <si>
    <t>Step: 28000 | RAR-L | Ratio/Cap:   2.3/ 15.0 | Error:  5.27% | Add [PDE:100 BC:0 IC:0]</t>
  </si>
  <si>
    <t>Step: 28500 | LBFGS | Ratio/Cap:   2.3/ 15.0 | Error:  6.51% | Add [PDE:0 BC:0 IC:0]</t>
  </si>
  <si>
    <t>Step: 29000 | LBFGS | Ratio/Cap:   2.3/ 15.0 | Error:  6.40% | Add [PDE:0 BC:0 IC:0]</t>
  </si>
  <si>
    <t>Step: 29500 | LBFGS | Ratio/Cap:   2.3/ 15.0 | Error:  5.95% | Add [PDE:0 BC:0 IC:0]</t>
  </si>
  <si>
    <t>Step: 30000 | LBFGS | Ratio/Cap:   2.3/ 15.0 | Error:  5.67% | Add [PDE:0 BC:0 IC:0]</t>
  </si>
  <si>
    <t>Step: 30500 | LBFGS | Ratio/Cap:   2.3/ 15.0 | Error:  4.72% | Add [PDE:0 BC:0 IC:0]</t>
  </si>
  <si>
    <t>Step: 31000 | LBFGS | Ratio/Cap:   2.3/ 15.0 | Error:  4.01% | Add [PDE:0 BC:0 IC:0]</t>
  </si>
  <si>
    <t>Step: 31500 | LBFGS | Ratio/Cap:   2.3/ 15.0 | Error:  3.51% | Add [PDE:0 BC:0 IC:0]</t>
  </si>
  <si>
    <t>Step: 32000 | LBFGS | Ratio/Cap:   2.3/ 15.0 | Error:  1.95% | Add [PDE:0 BC:0 IC:0]</t>
  </si>
  <si>
    <t>Step: 32000 | RAR-L | Ratio/Cap:   1.8/ 15.0 | Error:  1.95% | Add [PDE:100 BC:0 IC:0]</t>
  </si>
  <si>
    <t>Step: 32500 | LBFGS | Ratio/Cap:   1.8/ 15.0 | Error:  1.85% | Add [PDE:0 BC:0 IC:0]</t>
  </si>
  <si>
    <t>Step: 33000 | LBFGS | Ratio/Cap:   1.8/ 15.0 | Error:  1.80% | Add [PDE:0 BC:0 IC:0]</t>
  </si>
  <si>
    <t>Step: 33500 | LBFGS | Ratio/Cap:   1.8/ 15.0 | Error:  1.73% | Add [PDE:0 BC:0 IC:0]</t>
  </si>
  <si>
    <t>Step: 34000 | LBFGS | Ratio/Cap:   1.8/ 15.0 | Error:  1.50% | Add [PDE:0 BC:0 IC:0]</t>
  </si>
  <si>
    <t>Step: 34500 | LBFGS | Ratio/Cap:   1.8/ 15.0 | Error:  1.44% | Add [PDE:0 BC:0 IC:0]</t>
  </si>
  <si>
    <t>Step: 35000 | LBFGS | Ratio/Cap:   1.8/ 15.0 | Error:  1.36% | Add [PDE:0 BC:0 IC:0]</t>
  </si>
  <si>
    <t>Step: 35500 | LBFGS | Ratio/Cap:   1.8/ 15.0 | Error:  1.32% | Add [PDE:0 BC:0 IC:0]</t>
  </si>
  <si>
    <t>Step: 36000 | LBFGS | Ratio/Cap:   1.8/ 15.0 | Error:  1.31% | Add [PDE:0 BC:0 IC:0]</t>
  </si>
  <si>
    <t>Step: 36000 | RAR-L | Ratio/Cap:   4.9/ 15.0 | Error:  1.31% | Add [PDE:100 BC:0 IC:0]</t>
  </si>
  <si>
    <t>Step: 36500 | LBFGS | Ratio/Cap:   4.9/ 15.0 | Error:  1.33% | Add [PDE:0 BC:0 IC:0]</t>
  </si>
  <si>
    <t>Step: 37000 | LBFGS | Ratio/Cap:   4.9/ 15.0 | Error:  1.31% | Add [PDE:0 BC:0 IC:0]</t>
  </si>
  <si>
    <t>Step: 37500 | LBFGS | Ratio/Cap:   4.9/ 15.0 | Error:  1.21% | Add [PDE:0 BC:0 IC:0]</t>
  </si>
  <si>
    <t>Step: 38000 | LBFGS | Ratio/Cap:   4.9/ 15.0 | Error:  1.13% | Add [PDE:0 BC:0 IC:0]</t>
  </si>
  <si>
    <t>Step: 38500 | LBFGS | Ratio/Cap:   4.9/ 15.0 | Error:  1.06% | Add [PDE:0 BC:0 IC:0]</t>
  </si>
  <si>
    <t>Step: 39000 | LBFGS | Ratio/Cap:   4.9/ 15.0 | Error:  1.03% | Add [PDE:0 BC:0 IC:0]</t>
  </si>
  <si>
    <t>Step: 39500 | LBFGS | Ratio/Cap:   4.9/ 15.0 | Error:  0.96% | Add [PDE:0 BC:0 IC:0]</t>
  </si>
  <si>
    <t>Step: 40000 | LBFGS | Ratio/Cap:   4.9/ 15.0 | Error:  0.85% | Add [PDE:0 BC:0 IC:0]</t>
  </si>
  <si>
    <t>Total PDE Points Added: 1793</t>
  </si>
  <si>
    <t>Total BC  Points Added: 302</t>
  </si>
  <si>
    <t>Total IC  Points Added: 305</t>
  </si>
  <si>
    <t>Final S_PDE size: 3793</t>
  </si>
  <si>
    <t>Final S_BC  size: 802</t>
  </si>
  <si>
    <t>Final S_IC  size: 805</t>
  </si>
  <si>
    <t>Final Validation L2 Error (On Ground Truth): 0.85%</t>
  </si>
  <si>
    <t>Step:   500 | Adam  | Ratio/Cap:   0.0/ 15.0 | Error: 59.26% | Add [PDE:0 BC:0 IC:0]</t>
  </si>
  <si>
    <t>Step:  1000 | RAR-A | Ratio/Cap:   0.7/ 15.0 | Error: 57.62% | Add [PDE:100 BC:0 IC:0]</t>
  </si>
  <si>
    <t>Step:  1500 | Adam  | Ratio/Cap:   0.7/ 15.0 | Error: 54.69% | Add [PDE:0 BC:0 IC:0]</t>
  </si>
  <si>
    <t>Step:  2000 | RAR-A | Ratio/Cap:   0.7/ 15.0 | Error: 47.47% | Add [PDE:100 BC:0 IC:0]</t>
  </si>
  <si>
    <t>Step:  2500 | Adam  | Ratio/Cap:   0.7/ 15.0 | Error: 49.91% | Add [PDE:0 BC:0 IC:0]</t>
  </si>
  <si>
    <t>Step:  3000 | RAR-A | Ratio/Cap:   0.7/ 15.0 | Error: 48.28% | Add [PDE:100 BC:0 IC:0]</t>
  </si>
  <si>
    <t>Step:  3500 | Adam  | Ratio/Cap:   0.7/ 15.0 | Error: 46.34% | Add [PDE:0 BC:0 IC:0]</t>
  </si>
  <si>
    <t>Step:  4000 | RAR-A | Ratio/Cap:   1.0/ 15.0 | Error: 43.86% | Add [PDE:100 BC:0 IC:0]</t>
  </si>
  <si>
    <t>Step:  4500 | Adam  | Ratio/Cap:   1.0/ 15.0 | Error: 44.22% | Add [PDE:0 BC:0 IC:0]</t>
  </si>
  <si>
    <t>Step:  5000 | RAR-A | Ratio/Cap:   1.1/ 15.0 | Error: 42.10% | Add [PDE:100 BC:0 IC:0]</t>
  </si>
  <si>
    <t>Step:  5500 | Adam  | Ratio/Cap:   1.1/ 15.0 | Error: 39.43% | Add [PDE:0 BC:0 IC:0]</t>
  </si>
  <si>
    <t>Step:  6000 | RAR-A | Ratio/Cap:   4.1/ 15.0 | Error: 38.15% | Add [PDE:100 BC:0 IC:0]</t>
  </si>
  <si>
    <t>Step:  6500 | Adam  | Ratio/Cap:   4.1/ 15.0 | Error: 32.17% | Add [PDE:0 BC:0 IC:0]</t>
  </si>
  <si>
    <t>Step:  7000 | RAR-A | Ratio/Cap:   1.1/ 15.0 | Error: 30.91% | Add [PDE:100 BC:0 IC:0]</t>
  </si>
  <si>
    <t>Step:  7500 | Adam  | Ratio/Cap:   1.1/ 15.0 | Error: 46.82% | Add [PDE:0 BC:0 IC:0]</t>
  </si>
  <si>
    <t>Step:  8000 | RAR-A | Ratio/Cap:   5.6/ 15.0 | Error: 47.00% | Add [PDE:100 BC:0 IC:0]</t>
  </si>
  <si>
    <t>Step:  8500 | Adam  | Ratio/Cap:   5.6/ 15.0 | Error: 46.92% | Add [PDE:0 BC:0 IC:0]</t>
  </si>
  <si>
    <t>Step:  9000 | RAR-A | Ratio/Cap: 584.5/ 15.0 | Error: 47.15% | Add [PDE:0 BC:50 IC:50]</t>
  </si>
  <si>
    <t>Step:  9500 | Adam  | Ratio/Cap: 584.5/ 15.0 | Error: 47.25% | Add [PDE:0 BC:0 IC:0]</t>
  </si>
  <si>
    <t>Step: 10000 | RAR-A | Ratio/Cap:   0.9/ 15.0 | Error: 47.41% | Add [PDE:100 BC:0 IC:0]</t>
  </si>
  <si>
    <t>Step: 10500 | Adam  | Ratio/Cap:   0.9/ 15.0 | Error: 46.92% | Add [PDE:0 BC:0 IC:0]</t>
  </si>
  <si>
    <t>Step: 11000 | RAR-A | Ratio/Cap: 601.6/ 15.0 | Error: 44.81% | Add [PDE:0 BC:50 IC:50]</t>
  </si>
  <si>
    <t>Step: 11500 | Adam  | Ratio/Cap: 601.6/ 15.0 | Error: 43.66% | Add [PDE:0 BC:0 IC:0]</t>
  </si>
  <si>
    <t>Step: 12000 | RAR-A | Ratio/Cap:  29.6/ 15.0 | Error: 43.97% | Add [PDE:1 BC:49 IC:50]</t>
  </si>
  <si>
    <t>Step: 12500 | Adam  | Ratio/Cap:  29.6/ 15.0 | Error: 43.53% | Add [PDE:0 BC:0 IC:0]</t>
  </si>
  <si>
    <t>Step: 13000 | RAR-A | Ratio/Cap:   2.2/ 15.0 | Error: 43.88% | Add [PDE:100 BC:0 IC:0]</t>
  </si>
  <si>
    <t>Step: 13500 | Adam  | Ratio/Cap:   2.2/ 15.0 | Error: 44.04% | Add [PDE:0 BC:0 IC:0]</t>
  </si>
  <si>
    <t>Step: 14000 | RAR-A | Ratio/Cap: 167.1/ 15.0 | Error: 43.84% | Add [PDE:0 BC:50 IC:50]</t>
  </si>
  <si>
    <t>Step: 14500 | Adam  | Ratio/Cap: 167.1/ 15.0 | Error: 44.11% | Add [PDE:0 BC:0 IC:0]</t>
  </si>
  <si>
    <t>Step: 15000 | RAR-A | Ratio/Cap:   0.7/ 15.0 | Error: 44.11% | Add [PDE:100 BC:0 IC:0]</t>
  </si>
  <si>
    <t>Step: 15500 | Adam  | Ratio/Cap:   0.7/ 15.0 | Error: 44.08% | Add [PDE:0 BC:0 IC:0]</t>
  </si>
  <si>
    <t>Step: 16000 | RAR-A | Ratio/Cap: 391.2/ 15.0 | Error: 44.05% | Add [PDE:0 BC:50 IC:50]</t>
  </si>
  <si>
    <t>Step: 16500 | Adam  | Ratio/Cap: 391.2/ 15.0 | Error: 44.25% | Add [PDE:0 BC:0 IC:0]</t>
  </si>
  <si>
    <t>Step: 17000 | RAR-A | Ratio/Cap:   1.5/ 15.0 | Error: 44.04% | Add [PDE:100 BC:0 IC:0]</t>
  </si>
  <si>
    <t>Step: 17500 | Adam  | Ratio/Cap:   1.5/ 15.0 | Error: 43.67% | Add [PDE:0 BC:0 IC:0]</t>
  </si>
  <si>
    <t>Step: 18000 | RAR-A | Ratio/Cap:  47.2/ 15.0 | Error: 43.69% | Add [PDE:0 BC:50 IC:50]</t>
  </si>
  <si>
    <t>Step: 18500 | Adam  | Ratio/Cap:  47.2/ 15.0 | Error: 49.84% | Add [PDE:0 BC:0 IC:0]</t>
  </si>
  <si>
    <t>Step: 19000 | RAR-A | Ratio/Cap:   0.5/ 15.0 | Error: 49.61% | Add [PDE:100 BC:0 IC:0]</t>
  </si>
  <si>
    <t>Step: 19500 | Adam  | Ratio/Cap:   0.5/ 15.0 | Error: 49.46% | Add [PDE:0 BC:0 IC:0]</t>
  </si>
  <si>
    <t>Step: 20000 | RAR-A | Ratio/Cap:   2.2/ 15.0 | Error: 49.37% | Add [PDE:100 BC:0 IC:0]</t>
  </si>
  <si>
    <t>Step: 20500 | LBFGS | Ratio/Cap:   2.2/ 15.0 | Error: 46.41% | Add [PDE:0 BC:0 IC:0]</t>
  </si>
  <si>
    <t>Step: 21000 | LBFGS | Ratio/Cap:   2.2/ 15.0 | Error: 45.07% | Add [PDE:0 BC:0 IC:0]</t>
  </si>
  <si>
    <t>Step: 21500 | LBFGS | Ratio/Cap:   2.2/ 15.0 | Error: 45.00% | Add [PDE:0 BC:0 IC:0]</t>
  </si>
  <si>
    <t>Step: 22000 | LBFGS | Ratio/Cap:   2.2/ 15.0 | Error: 44.15% | Add [PDE:0 BC:0 IC:0]</t>
  </si>
  <si>
    <t>Step: 22500 | LBFGS | Ratio/Cap:   2.2/ 15.0 | Error: 37.84% | Add [PDE:0 BC:0 IC:0]</t>
  </si>
  <si>
    <t>Step: 23000 | LBFGS | Ratio/Cap:   2.2/ 15.0 | Error: 31.54% | Add [PDE:0 BC:0 IC:0]</t>
  </si>
  <si>
    <t>Step: 23500 | LBFGS | Ratio/Cap:   2.2/ 15.0 | Error: 26.64% | Add [PDE:0 BC:0 IC:0]</t>
  </si>
  <si>
    <t>Step: 24000 | LBFGS | Ratio/Cap:   2.2/ 15.0 | Error: 25.02% | Add [PDE:0 BC:0 IC:0]</t>
  </si>
  <si>
    <t>Step: 24000 | RAR-L | Ratio/Cap:  21.7/ 15.0 | Error: 25.02% | Add [PDE:1 BC:49 IC:50]</t>
  </si>
  <si>
    <t>Step: 24500 | LBFGS | Ratio/Cap:  21.7/ 15.0 | Error: 22.26% | Add [PDE:0 BC:0 IC:0]</t>
  </si>
  <si>
    <t>Step: 25000 | LBFGS | Ratio/Cap:  21.7/ 15.0 | Error: 21.72% | Add [PDE:0 BC:0 IC:0]</t>
  </si>
  <si>
    <t>Step: 25500 | LBFGS | Ratio/Cap:  21.7/ 15.0 | Error: 20.33% | Add [PDE:0 BC:0 IC:0]</t>
  </si>
  <si>
    <t>Step: 26000 | LBFGS | Ratio/Cap:  21.7/ 15.0 | Error: 19.95% | Add [PDE:0 BC:0 IC:0]</t>
  </si>
  <si>
    <t>Step: 26500 | LBFGS | Ratio/Cap:  21.7/ 15.0 | Error: 19.61% | Add [PDE:0 BC:0 IC:0]</t>
  </si>
  <si>
    <t>Step: 27000 | LBFGS | Ratio/Cap:  21.7/ 15.0 | Error: 19.51% | Add [PDE:0 BC:0 IC:0]</t>
  </si>
  <si>
    <t>Step: 27500 | LBFGS | Ratio/Cap:  21.7/ 15.0 | Error: 19.34% | Add [PDE:0 BC:0 IC:0]</t>
  </si>
  <si>
    <t>Step: 28000 | LBFGS | Ratio/Cap:  21.7/ 15.0 | Error: 19.11% | Add [PDE:0 BC:0 IC:0]</t>
  </si>
  <si>
    <t>Step: 28000 | RAR-L | Ratio/Cap:  25.2/ 15.0 | Error: 19.11% | Add [PDE:1 BC:49 IC:50]</t>
  </si>
  <si>
    <t>Step: 28500 | LBFGS | Ratio/Cap:  25.2/ 15.0 | Error: 18.79% | Add [PDE:0 BC:0 IC:0]</t>
  </si>
  <si>
    <t>Step: 29000 | LBFGS | Ratio/Cap:  25.2/ 15.0 | Error: 18.89% | Add [PDE:0 BC:0 IC:0]</t>
  </si>
  <si>
    <t>Step: 29500 | LBFGS | Ratio/Cap:  25.2/ 15.0 | Error: 18.80% | Add [PDE:0 BC:0 IC:0]</t>
  </si>
  <si>
    <t>Step: 30000 | LBFGS | Ratio/Cap:  25.2/ 15.0 | Error: 18.65% | Add [PDE:0 BC:0 IC:0]</t>
  </si>
  <si>
    <t>Step: 30500 | LBFGS | Ratio/Cap:  25.2/ 15.0 | Error: 18.59% | Add [PDE:0 BC:0 IC:0]</t>
  </si>
  <si>
    <t>Step: 31000 | LBFGS | Ratio/Cap:  25.2/ 15.0 | Error: 18.55% | Add [PDE:0 BC:0 IC:0]</t>
  </si>
  <si>
    <t>Step: 31500 | LBFGS | Ratio/Cap:  25.2/ 15.0 | Error: 18.49% | Add [PDE:0 BC:0 IC:0]</t>
  </si>
  <si>
    <t>Step: 32000 | LBFGS | Ratio/Cap:  25.2/ 15.0 | Error: 18.39% | Add [PDE:0 BC:0 IC:0]</t>
  </si>
  <si>
    <t>Step: 32000 | RAR-L | Ratio/Cap:  70.9/ 15.0 | Error: 18.39% | Add [PDE:0 BC:50 IC:50]</t>
  </si>
  <si>
    <t>Step: 32500 | LBFGS | Ratio/Cap:  70.9/ 15.0 | Error: 18.39% | Add [PDE:0 BC:0 IC:0]</t>
  </si>
  <si>
    <t>Step: 33000 | LBFGS | Ratio/Cap:  70.9/ 15.0 | Error: 18.38% | Add [PDE:0 BC:0 IC:0]</t>
  </si>
  <si>
    <t>Step: 33500 | LBFGS | Ratio/Cap:  70.9/ 15.0 | Error: 18.32% | Add [PDE:0 BC:0 IC:0]</t>
  </si>
  <si>
    <t>Step: 34000 | LBFGS | Ratio/Cap:  70.9/ 15.0 | Error: 18.24% | Add [PDE:0 BC:0 IC:0]</t>
  </si>
  <si>
    <t>Step: 34500 | LBFGS | Ratio/Cap:  70.9/ 15.0 | Error: 18.22% | Add [PDE:0 BC:0 IC:0]</t>
  </si>
  <si>
    <t>Step: 35000 | LBFGS | Ratio/Cap:  70.9/ 15.0 | Error: 18.17% | Add [PDE:0 BC:0 IC:0]</t>
  </si>
  <si>
    <t>Step: 35500 | LBFGS | Ratio/Cap:  70.9/ 15.0 | Error: 18.14% | Add [PDE:0 BC:0 IC:0]</t>
  </si>
  <si>
    <t>Step: 36000 | LBFGS | Ratio/Cap:  70.9/ 15.0 | Error: 18.08% | Add [PDE:0 BC:0 IC:0]</t>
  </si>
  <si>
    <t>Step: 36000 | RAR-L | Ratio/Cap: 149.1/ 15.0 | Error: 18.08% | Add [PDE:0 BC:50 IC:50]</t>
  </si>
  <si>
    <t>Step: 36500 | LBFGS | Ratio/Cap: 149.1/ 15.0 | Error: 18.08% | Add [PDE:0 BC:0 IC:0]</t>
  </si>
  <si>
    <t>Step: 37000 | LBFGS | Ratio/Cap: 149.1/ 15.0 | Error: 18.09% | Add [PDE:0 BC:0 IC:0]</t>
  </si>
  <si>
    <t>Step: 37500 | LBFGS | Ratio/Cap: 149.1/ 15.0 | Error: 18.08% | Add [PDE:0 BC:0 IC:0]</t>
  </si>
  <si>
    <t>Step: 38000 | LBFGS | Ratio/Cap: 149.1/ 15.0 | Error: 18.07% | Add [PDE:0 BC:0 IC:0]</t>
  </si>
  <si>
    <t>Step: 38500 | LBFGS | Ratio/Cap: 149.1/ 15.0 | Error: 18.06% | Add [PDE:0 BC:0 IC:0]</t>
  </si>
  <si>
    <t>Step: 39000 | LBFGS | Ratio/Cap: 149.1/ 15.0 | Error: 18.05% | Add [PDE:0 BC:0 IC:0]</t>
  </si>
  <si>
    <t>Step: 39500 | LBFGS | Ratio/Cap: 149.1/ 15.0 | Error: 18.04% | Add [PDE:0 BC:0 IC:0]</t>
  </si>
  <si>
    <t>Step: 40000 | LBFGS | Ratio/Cap: 149.1/ 15.0 | Error: 18.00% | Add [PDE:0 BC:0 IC:0]</t>
  </si>
  <si>
    <t>Total PDE Points Added: 1403</t>
  </si>
  <si>
    <t>Total BC  Points Added: 497</t>
  </si>
  <si>
    <t>Total IC  Points Added: 500</t>
  </si>
  <si>
    <t>Final S_PDE size: 3403</t>
  </si>
  <si>
    <t>Final S_BC  size: 997</t>
  </si>
  <si>
    <t>Final S_IC  size: 1000</t>
  </si>
  <si>
    <t>Final Validation L2 Error (On Ground Truth): 18.00%</t>
  </si>
  <si>
    <t>== Spectrum-Guided Dual Collocation (TRR-DC) PINN ===</t>
  </si>
  <si>
    <t>Step:   500 | Adam  | Ratio/Cap:   0.0/ 15.0 | Error: 50.57% | Add [PDE:0 BC:0 IC:0]</t>
  </si>
  <si>
    <t>Step:  1000 | RAR-A | Ratio/Cap:   0.8/ 15.0 | Error: 46.55% | Add [PDE:100 BC:0 IC:0]</t>
  </si>
  <si>
    <t>Step:  1500 | Adam  | Ratio/Cap:   0.8/ 15.0 | Error: 48.00% | Add [PDE:0 BC:0 IC:0]</t>
  </si>
  <si>
    <t>Step:  2000 | RAR-A | Ratio/Cap:   1.0/ 15.0 | Error: 44.95% | Add [PDE:100 BC:0 IC:0]</t>
  </si>
  <si>
    <t>Step:  2500 | Adam  | Ratio/Cap:   1.0/ 15.0 | Error: 46.22% | Add [PDE:0 BC:0 IC:0]</t>
  </si>
  <si>
    <t>Step:  3000 | RAR-A | Ratio/Cap:   1.2/ 15.0 | Error: 44.29% | Add [PDE:100 BC:0 IC:0]</t>
  </si>
  <si>
    <t>Step:  3500 | Adam  | Ratio/Cap:   1.2/ 15.0 | Error: 43.20% | Add [PDE:0 BC:0 IC:0]</t>
  </si>
  <si>
    <t>Step:  4000 | RAR-A | Ratio/Cap:   0.8/ 15.0 | Error: 40.86% | Add [PDE:100 BC:0 IC:0]</t>
  </si>
  <si>
    <t>Step:  4500 | Adam  | Ratio/Cap:   0.8/ 15.0 | Error: 39.98% | Add [PDE:0 BC:0 IC:0]</t>
  </si>
  <si>
    <t>Step:  5000 | RAR-A | Ratio/Cap:   0.8/ 15.0 | Error: 38.96% | Add [PDE:100 BC:0 IC:0]</t>
  </si>
  <si>
    <t>Step:  5500 | Adam  | Ratio/Cap:   0.8/ 15.0 | Error: 36.14% | Add [PDE:0 BC:0 IC:0]</t>
  </si>
  <si>
    <t>Step:  6000 | RAR-A | Ratio/Cap: 148.9/ 15.0 | Error: 31.44% | Add [PDE:0 BC:50 IC:50]</t>
  </si>
  <si>
    <t>Step:  6500 | Adam  | Ratio/Cap: 148.9/ 15.0 | Error: 29.25% | Add [PDE:0 BC:0 IC:0]</t>
  </si>
  <si>
    <t>Step:  7000 | RAR-A | Ratio/Cap:   6.2/ 15.0 | Error: 28.38% | Add [PDE:100 BC:0 IC:0]</t>
  </si>
  <si>
    <t>Step:  7500 | Adam  | Ratio/Cap:   6.2/ 15.0 | Error: 24.04% | Add [PDE:0 BC:0 IC:0]</t>
  </si>
  <si>
    <t>Step:  8000 | RAR-A | Ratio/Cap:   6.1/ 15.0 | Error: 17.26% | Add [PDE:100 BC:0 IC:0]</t>
  </si>
  <si>
    <t>Step:  8500 | Adam  | Ratio/Cap:   6.1/ 15.0 | Error: 17.44% | Add [PDE:0 BC:0 IC:0]</t>
  </si>
  <si>
    <t>Step:  9000 | RAR-A | Ratio/Cap:  36.4/ 15.0 | Error: 18.40% | Add [PDE:0 BC:50 IC:50]</t>
  </si>
  <si>
    <t>Step:  9500 | Adam  | Ratio/Cap:  36.4/ 15.0 | Error: 18.78% | Add [PDE:0 BC:0 IC:0]</t>
  </si>
  <si>
    <t>Step: 10000 | RAR-A | Ratio/Cap: 114.0/ 15.0 | Error: 18.16% | Add [PDE:0 BC:50 IC:50]</t>
  </si>
  <si>
    <t>Step: 10500 | Adam  | Ratio/Cap: 114.0/ 15.0 | Error: 18.20% | Add [PDE:0 BC:0 IC:0]</t>
  </si>
  <si>
    <t>Step: 11000 | RAR-A | Ratio/Cap: 5856.3/ 15.0 | Error: 18.35% | Add [PDE:0 BC:50 IC:50]</t>
  </si>
  <si>
    <t>Step: 11500 | Adam  | Ratio/Cap: 5856.3/ 15.0 | Error: 40.23% | Add [PDE:0 BC:0 IC:0]</t>
  </si>
  <si>
    <t>Step: 12000 | RAR-A | Ratio/Cap:   8.1/ 15.0 | Error: 44.06% | Add [PDE:100 BC:0 IC:0]</t>
  </si>
  <si>
    <t>Step: 12500 | Adam  | Ratio/Cap:   8.1/ 15.0 | Error: 42.48% | Add [PDE:0 BC:0 IC:0]</t>
  </si>
  <si>
    <t>Step: 13000 | RAR-A | Ratio/Cap:  25.4/ 15.0 | Error: 41.64% | Add [PDE:1 BC:49 IC:50]</t>
  </si>
  <si>
    <t>Step: 13500 | Adam  | Ratio/Cap:  25.4/ 15.0 | Error: 40.93% | Add [PDE:0 BC:0 IC:0]</t>
  </si>
  <si>
    <t>Step: 14000 | RAR-A | Ratio/Cap:   2.3/ 15.0 | Error: 41.17% | Add [PDE:100 BC:0 IC:0]</t>
  </si>
  <si>
    <t>Step: 14500 | Adam  | Ratio/Cap:   2.3/ 15.0 | Error: 41.53% | Add [PDE:0 BC:0 IC:0]</t>
  </si>
  <si>
    <t>Step: 15000 | RAR-A | Ratio/Cap:   3.5/ 15.0 | Error: 41.50% | Add [PDE:100 BC:0 IC:0]</t>
  </si>
  <si>
    <t>Step: 15500 | Adam  | Ratio/Cap:   3.5/ 15.0 | Error: 50.84% | Add [PDE:0 BC:0 IC:0]</t>
  </si>
  <si>
    <t>Step: 16000 | RAR-A | Ratio/Cap:   2.6/ 15.0 | Error: 50.68% | Add [PDE:100 BC:0 IC:0]</t>
  </si>
  <si>
    <t>Step: 16500 | Adam  | Ratio/Cap:   2.6/ 15.0 | Error: 49.00% | Add [PDE:0 BC:0 IC:0]</t>
  </si>
  <si>
    <t>Step: 17000 | RAR-A | Ratio/Cap:   2.5/ 15.0 | Error: 48.96% | Add [PDE:100 BC:0 IC:0]</t>
  </si>
  <si>
    <t>Step: 17500 | Adam  | Ratio/Cap:   2.5/ 15.0 | Error: 47.84% | Add [PDE:0 BC:0 IC:0]</t>
  </si>
  <si>
    <t>Step: 18000 | RAR-A | Ratio/Cap: 251.9/ 15.0 | Error: 47.70% | Add [PDE:0 BC:50 IC:50]</t>
  </si>
  <si>
    <t>Step: 18500 | Adam  | Ratio/Cap: 251.9/ 15.0 | Error: 47.77% | Add [PDE:0 BC:0 IC:0]</t>
  </si>
  <si>
    <t>Step: 19000 | RAR-A | Ratio/Cap:  16.2/ 15.0 | Error: 47.67% | Add [PDE:9 BC:45 IC:46]</t>
  </si>
  <si>
    <t>Step: 19500 | Adam  | Ratio/Cap:  16.2/ 15.0 | Error: 49.40% | Add [PDE:0 BC:0 IC:0]</t>
  </si>
  <si>
    <t>Step: 20000 | RAR-A | Ratio/Cap:   1.0/ 15.0 | Error: 44.34% | Add [PDE:100 BC:0 IC:0]</t>
  </si>
  <si>
    <t>Step: 20500 | LBFGS | Ratio/Cap:   1.0/ 15.0 | Error: 40.82% | Add [PDE:0 BC:0 IC:0]</t>
  </si>
  <si>
    <t>Step: 21000 | LBFGS | Ratio/Cap:   1.0/ 15.0 | Error: 38.11% | Add [PDE:0 BC:0 IC:0]</t>
  </si>
  <si>
    <t>Step: 21500 | LBFGS | Ratio/Cap:   1.0/ 15.0 | Error: 37.93% | Add [PDE:0 BC:0 IC:0]</t>
  </si>
  <si>
    <t>Step: 22000 | LBFGS | Ratio/Cap:   1.0/ 15.0 | Error: 37.37% | Add [PDE:0 BC:0 IC:0]</t>
  </si>
  <si>
    <t>Step: 22500 | LBFGS | Ratio/Cap:   1.0/ 15.0 | Error: 24.63% | Add [PDE:0 BC:0 IC:0]</t>
  </si>
  <si>
    <t>Step: 23000 | LBFGS | Ratio/Cap:   1.0/ 15.0 | Error: 23.55% | Add [PDE:0 BC:0 IC:0]</t>
  </si>
  <si>
    <t>Step: 23500 | LBFGS | Ratio/Cap:   1.0/ 15.0 | Error: 22.71% | Add [PDE:0 BC:0 IC:0]</t>
  </si>
  <si>
    <t>Step: 24000 | LBFGS | Ratio/Cap:   1.0/ 15.0 | Error:  9.20% | Add [PDE:0 BC:0 IC:0]</t>
  </si>
  <si>
    <t>Step: 24000 | RAR-L | Ratio/Cap:  25.4/ 15.0 | Error:  9.20% | Add [PDE:1 BC:49 IC:50]</t>
  </si>
  <si>
    <t>Step: 24500 | LBFGS | Ratio/Cap:  25.4/ 15.0 | Error:  3.60% | Add [PDE:0 BC:0 IC:0]</t>
  </si>
  <si>
    <t>Step: 25000 | LBFGS | Ratio/Cap:  25.4/ 15.0 | Error:  4.08% | Add [PDE:0 BC:0 IC:0]</t>
  </si>
  <si>
    <t>Step: 25500 | LBFGS | Ratio/Cap:  25.4/ 15.0 | Error:  3.85% | Add [PDE:0 BC:0 IC:0]</t>
  </si>
  <si>
    <t>Step: 26000 | LBFGS | Ratio/Cap:  25.4/ 15.0 | Error:  3.29% | Add [PDE:0 BC:0 IC:0]</t>
  </si>
  <si>
    <t>Step: 26500 | LBFGS | Ratio/Cap:  25.4/ 15.0 | Error:  3.29% | Add [PDE:0 BC:0 IC:0]</t>
  </si>
  <si>
    <t>Step: 27000 | LBFGS | Ratio/Cap:  25.4/ 15.0 | Error:  3.40% | Add [PDE:0 BC:0 IC:0]</t>
  </si>
  <si>
    <t>Step: 27500 | LBFGS | Ratio/Cap:  25.4/ 15.0 | Error:  2.66% | Add [PDE:0 BC:0 IC:0]</t>
  </si>
  <si>
    <t>Step: 28000 | LBFGS | Ratio/Cap:  25.4/ 15.0 | Error:  1.92% | Add [PDE:0 BC:0 IC:0]</t>
  </si>
  <si>
    <t>Step: 28000 | RAR-L | Ratio/Cap: 188.6/ 15.0 | Error:  1.92% | Add [PDE:0 BC:50 IC:50]</t>
  </si>
  <si>
    <t>Step: 28500 | LBFGS | Ratio/Cap: 188.6/ 15.0 | Error:  1.87% | Add [PDE:0 BC:0 IC:0]</t>
  </si>
  <si>
    <t>Step: 29000 | LBFGS | Ratio/Cap: 188.6/ 15.0 | Error:  1.71% | Add [PDE:0 BC:0 IC:0]</t>
  </si>
  <si>
    <t>Step: 29500 | LBFGS | Ratio/Cap: 188.6/ 15.0 | Error:  1.55% | Add [PDE:0 BC:0 IC:0]</t>
  </si>
  <si>
    <t>Step: 30000 | LBFGS | Ratio/Cap: 188.6/ 15.0 | Error:  1.53% | Add [PDE:0 BC:0 IC:0]</t>
  </si>
  <si>
    <t>Step: 30500 | LBFGS | Ratio/Cap: 188.6/ 15.0 | Error:  1.53% | Add [PDE:0 BC:0 IC:0]</t>
  </si>
  <si>
    <t>Step: 31000 | LBFGS | Ratio/Cap: 188.6/ 15.0 | Error:  1.45% | Add [PDE:0 BC:0 IC:0]</t>
  </si>
  <si>
    <t>Step: 31500 | LBFGS | Ratio/Cap: 188.6/ 15.0 | Error:  1.41% | Add [PDE:0 BC:0 IC:0]</t>
  </si>
  <si>
    <t>Step: 32000 | LBFGS | Ratio/Cap: 188.6/ 15.0 | Error:  1.36% | Add [PDE:0 BC:0 IC:0]</t>
  </si>
  <si>
    <t>Step: 32000 | RAR-L | Ratio/Cap:  16.0/ 15.0 | Error:  1.36% | Add [PDE:13 BC:43 IC:44]</t>
  </si>
  <si>
    <t>Step: 32500 | LBFGS | Ratio/Cap:  16.0/ 15.0 | Error:  1.00% | Add [PDE:0 BC:0 IC:0]</t>
  </si>
  <si>
    <t>Step: 33000 | LBFGS | Ratio/Cap:  16.0/ 15.0 | Error:  1.18% | Add [PDE:0 BC:0 IC:0]</t>
  </si>
  <si>
    <t>Step: 33500 | LBFGS | Ratio/Cap:  16.0/ 15.0 | Error:  1.19% | Add [PDE:0 BC:0 IC:0]</t>
  </si>
  <si>
    <t>Step: 34000 | LBFGS | Ratio/Cap:  16.0/ 15.0 | Error:  1.06% | Add [PDE:0 BC:0 IC:0]</t>
  </si>
  <si>
    <t>Step: 34500 | LBFGS | Ratio/Cap:  16.0/ 15.0 | Error:  1.07% | Add [PDE:0 BC:0 IC:0]</t>
  </si>
  <si>
    <t>Step: 35000 | LBFGS | Ratio/Cap:  16.0/ 15.0 | Error:  1.07% | Add [PDE:0 BC:0 IC:0]</t>
  </si>
  <si>
    <t>Step: 35500 | LBFGS | Ratio/Cap:  16.0/ 15.0 | Error:  1.04% | Add [PDE:0 BC:0 IC:0]</t>
  </si>
  <si>
    <t>Step: 36000 | LBFGS | Ratio/Cap:  16.0/ 15.0 | Error:  0.93% | Add [PDE:0 BC:0 IC:0]</t>
  </si>
  <si>
    <t>Step: 36000 | RAR-L | Ratio/Cap:   8.6/ 15.0 | Error:  0.93% | Add [PDE:100 BC:0 IC:0]</t>
  </si>
  <si>
    <t>Step: 36500 | LBFGS | Ratio/Cap:   8.6/ 15.0 | Error:  1.24% | Add [PDE:0 BC:0 IC:0]</t>
  </si>
  <si>
    <t>Step: 37000 | LBFGS | Ratio/Cap:   8.6/ 15.0 | Error:  1.24% | Add [PDE:0 BC:0 IC:0]</t>
  </si>
  <si>
    <t>Step: 37500 | LBFGS | Ratio/Cap:   8.6/ 15.0 | Error:  1.29% | Add [PDE:0 BC:0 IC:0]</t>
  </si>
  <si>
    <t>Step: 38000 | LBFGS | Ratio/Cap:   8.6/ 15.0 | Error:  1.28% | Add [PDE:0 BC:0 IC:0]</t>
  </si>
  <si>
    <t>Step: 38500 | LBFGS | Ratio/Cap:   8.6/ 15.0 | Error:  1.27% | Add [PDE:0 BC:0 IC:0]</t>
  </si>
  <si>
    <t>Step: 39000 | LBFGS | Ratio/Cap:   8.6/ 15.0 | Error:  1.25% | Add [PDE:0 BC:0 IC:0]</t>
  </si>
  <si>
    <t>Step: 39500 | LBFGS | Ratio/Cap:   8.6/ 15.0 | Error:  1.27% | Add [PDE:0 BC:0 IC:0]</t>
  </si>
  <si>
    <t>Step: 40000 | LBFGS | Ratio/Cap:   8.6/ 15.0 | Error:  1.24% | Add [PDE:0 BC:0 IC:0]</t>
  </si>
  <si>
    <t>Total PDE Points Added: 1424</t>
  </si>
  <si>
    <t>Total BC  Points Added: 486</t>
  </si>
  <si>
    <t>Total IC  Points Added: 490</t>
  </si>
  <si>
    <t>Final S_PDE size: 3424</t>
  </si>
  <si>
    <t>Final S_BC  size: 986</t>
  </si>
  <si>
    <t>Final S_IC  size: 990</t>
  </si>
  <si>
    <t>Final Validation L2 Error (On Ground Truth): 1.24%</t>
  </si>
  <si>
    <t>Step:   500 | Adam  | Ratio/Cap:   0.0/ 15.0 | Error: 48.25% | Add [PDE:0 BC:0 IC:0]</t>
  </si>
  <si>
    <t>Step:  1000 | RAR-A | Ratio/Cap:   0.9/ 15.0 | Error: 45.96% | Add [PDE:100 BC:0 IC:0]</t>
  </si>
  <si>
    <t>Step:  1500 | Adam  | Ratio/Cap:   0.9/ 15.0 | Error: 45.81% | Add [PDE:0 BC:0 IC:0]</t>
  </si>
  <si>
    <t>Step:  2000 | RAR-A | Ratio/Cap:   1.1/ 15.0 | Error: 45.05% | Add [PDE:100 BC:0 IC:0]</t>
  </si>
  <si>
    <t>Step:  2500 | Adam  | Ratio/Cap:   1.1/ 15.0 | Error: 44.36% | Add [PDE:0 BC:0 IC:0]</t>
  </si>
  <si>
    <t>Step:  3000 | RAR-A | Ratio/Cap:   1.0/ 15.0 | Error: 43.40% | Add [PDE:100 BC:0 IC:0]</t>
  </si>
  <si>
    <t>Step:  3500 | Adam  | Ratio/Cap:   1.0/ 15.0 | Error: 45.31% | Add [PDE:0 BC:0 IC:0]</t>
  </si>
  <si>
    <t>Step:  4000 | RAR-A | Ratio/Cap:   1.3/ 15.0 | Error: 43.56% | Add [PDE:100 BC:0 IC:0]</t>
  </si>
  <si>
    <t>Step:  4500 | Adam  | Ratio/Cap:   1.3/ 15.0 | Error: 43.72% | Add [PDE:0 BC:0 IC:0]</t>
  </si>
  <si>
    <t>Step:  5000 | RAR-A | Ratio/Cap:   0.8/ 15.0 | Error: 42.57% | Add [PDE:100 BC:0 IC:0]</t>
  </si>
  <si>
    <t>Step:  5500 | Adam  | Ratio/Cap:   0.8/ 15.0 | Error: 39.62% | Add [PDE:0 BC:0 IC:0]</t>
  </si>
  <si>
    <t>Step:  6000 | RAR-A | Ratio/Cap:   1.6/ 15.0 | Error: 36.38% | Add [PDE:100 BC:0 IC:0]</t>
  </si>
  <si>
    <t>Step:  6500 | Adam  | Ratio/Cap:   1.6/ 15.0 | Error: 35.37% | Add [PDE:0 BC:0 IC:0]</t>
  </si>
  <si>
    <t>Step:  7000 | RAR-A | Ratio/Cap:   1.2/ 15.0 | Error: 33.31% | Add [PDE:100 BC:0 IC:0]</t>
  </si>
  <si>
    <t>Step:  7500 | Adam  | Ratio/Cap:   1.2/ 15.0 | Error: 29.55% | Add [PDE:0 BC:0 IC:0]</t>
  </si>
  <si>
    <t>Step:  8000 | RAR-A | Ratio/Cap:  11.5/ 15.0 | Error: 28.32% | Add [PDE:100 BC:0 IC:0]</t>
  </si>
  <si>
    <t>Step:  8500 | Adam  | Ratio/Cap:  11.5/ 15.0 | Error: 51.19% | Add [PDE:0 BC:0 IC:0]</t>
  </si>
  <si>
    <t>Step:  9000 | RAR-A | Ratio/Cap:   0.6/ 15.0 | Error: 51.30% | Add [PDE:100 BC:0 IC:0]</t>
  </si>
  <si>
    <t>Step:  9500 | Adam  | Ratio/Cap:   0.6/ 15.0 | Error: 46.19% | Add [PDE:0 BC:0 IC:0]</t>
  </si>
  <si>
    <t>Step: 10000 | RAR-A | Ratio/Cap:   2.1/ 15.0 | Error: 46.19% | Add [PDE:100 BC:0 IC:0]</t>
  </si>
  <si>
    <t>Step: 10500 | Adam  | Ratio/Cap:   2.1/ 15.0 | Error: 49.22% | Add [PDE:0 BC:0 IC:0]</t>
  </si>
  <si>
    <t>Step: 11000 | RAR-A | Ratio/Cap:   9.0/ 15.0 | Error: 49.25% | Add [PDE:100 BC:0 IC:0]</t>
  </si>
  <si>
    <t>Step: 11500 | Adam  | Ratio/Cap:   9.0/ 15.0 | Error: 49.97% | Add [PDE:0 BC:0 IC:0]</t>
  </si>
  <si>
    <t>Step: 12000 | RAR-A | Ratio/Cap:   2.2/ 15.0 | Error: 50.06% | Add [PDE:100 BC:0 IC:0]</t>
  </si>
  <si>
    <t>Step: 12500 | Adam  | Ratio/Cap:   2.2/ 15.0 | Error: 50.61% | Add [PDE:0 BC:0 IC:0]</t>
  </si>
  <si>
    <t>Step: 13000 | RAR-A | Ratio/Cap:   2.8/ 15.0 | Error: 51.62% | Add [PDE:100 BC:0 IC:0]</t>
  </si>
  <si>
    <t>Step: 13500 | Adam  | Ratio/Cap:   2.8/ 15.0 | Error: 51.72% | Add [PDE:0 BC:0 IC:0]</t>
  </si>
  <si>
    <t>Step: 14000 | RAR-A | Ratio/Cap:   6.0/ 15.0 | Error: 51.78% | Add [PDE:100 BC:0 IC:0]</t>
  </si>
  <si>
    <t>Step: 14500 | Adam  | Ratio/Cap:   6.0/ 15.0 | Error: 51.77% | Add [PDE:0 BC:0 IC:0]</t>
  </si>
  <si>
    <t>Step: 15000 | RAR-A | Ratio/Cap:   3.8/ 15.0 | Error: 51.85% | Add [PDE:100 BC:0 IC:0]</t>
  </si>
  <si>
    <t>Step: 15500 | Adam  | Ratio/Cap:   3.8/ 15.0 | Error: 43.61% | Add [PDE:0 BC:0 IC:0]</t>
  </si>
  <si>
    <t>Step: 16000 | RAR-A | Ratio/Cap:   0.8/ 15.0 | Error: 43.59% | Add [PDE:100 BC:0 IC:0]</t>
  </si>
  <si>
    <t>Step: 16500 | Adam  | Ratio/Cap:   0.8/ 15.0 | Error: 43.51% | Add [PDE:0 BC:0 IC:0]</t>
  </si>
  <si>
    <t>Step: 17000 | RAR-A | Ratio/Cap:   3.7/ 15.0 | Error: 43.50% | Add [PDE:100 BC:0 IC:0]</t>
  </si>
  <si>
    <t>Step: 17500 | Adam  | Ratio/Cap:   3.7/ 15.0 | Error: 43.93% | Add [PDE:0 BC:0 IC:0]</t>
  </si>
  <si>
    <t>Step: 18000 | RAR-A | Ratio/Cap:  70.9/ 15.0 | Error: 43.42% | Add [PDE:0 BC:50 IC:50]</t>
  </si>
  <si>
    <t>Step: 18500 | Adam  | Ratio/Cap:  70.9/ 15.0 | Error: 43.39% | Add [PDE:0 BC:0 IC:0]</t>
  </si>
  <si>
    <t>Step: 19000 | RAR-A | Ratio/Cap:   4.2/ 15.0 | Error: 43.11% | Add [PDE:100 BC:0 IC:0]</t>
  </si>
  <si>
    <t>Step: 19500 | Adam  | Ratio/Cap:   4.2/ 15.0 | Error: 42.96% | Add [PDE:0 BC:0 IC:0]</t>
  </si>
  <si>
    <t>Step: 20000 | RAR-A | Ratio/Cap:  16.2/ 15.0 | Error: 42.65% | Add [PDE:9 BC:45 IC:46]</t>
  </si>
  <si>
    <t>Step: 20500 | LBFGS | Ratio/Cap:  16.2/ 15.0 | Error: 42.10% | Add [PDE:0 BC:0 IC:0]</t>
  </si>
  <si>
    <t>Step: 21000 | LBFGS | Ratio/Cap:  16.2/ 15.0 | Error: 41.95% | Add [PDE:0 BC:0 IC:0]</t>
  </si>
  <si>
    <t>Step: 21500 | LBFGS | Ratio/Cap:  16.2/ 15.0 | Error: 41.14% | Add [PDE:0 BC:0 IC:0]</t>
  </si>
  <si>
    <t>Step: 22000 | LBFGS | Ratio/Cap:  16.2/ 15.0 | Error: 40.46% | Add [PDE:0 BC:0 IC:0]</t>
  </si>
  <si>
    <t>Step: 22500 | LBFGS | Ratio/Cap:  16.2/ 15.0 | Error: 26.31% | Add [PDE:0 BC:0 IC:0]</t>
  </si>
  <si>
    <t>Step: 23000 | LBFGS | Ratio/Cap:  16.2/ 15.0 | Error: 21.32% | Add [PDE:0 BC:0 IC:0]</t>
  </si>
  <si>
    <t>Step: 23500 | LBFGS | Ratio/Cap:  16.2/ 15.0 | Error: 21.01% | Add [PDE:0 BC:0 IC:0]</t>
  </si>
  <si>
    <t>Step: 24000 | LBFGS | Ratio/Cap:  16.2/ 15.0 | Error: 17.71% | Add [PDE:0 BC:0 IC:0]</t>
  </si>
  <si>
    <t>Step: 24000 | RAR-L | Ratio/Cap:   5.3/ 15.0 | Error: 17.71% | Add [PDE:100 BC:0 IC:0]</t>
  </si>
  <si>
    <t>Step: 24500 | LBFGS | Ratio/Cap:   5.3/ 15.0 | Error: 14.45% | Add [PDE:0 BC:0 IC:0]</t>
  </si>
  <si>
    <t>Step: 25000 | LBFGS | Ratio/Cap:   5.3/ 15.0 | Error: 13.34% | Add [PDE:0 BC:0 IC:0]</t>
  </si>
  <si>
    <t>Step: 25500 | LBFGS | Ratio/Cap:   5.3/ 15.0 | Error: 11.85% | Add [PDE:0 BC:0 IC:0]</t>
  </si>
  <si>
    <t>Step: 26000 | LBFGS | Ratio/Cap:   5.3/ 15.0 | Error: 10.97% | Add [PDE:0 BC:0 IC:0]</t>
  </si>
  <si>
    <t>Step: 26500 | LBFGS | Ratio/Cap:   5.3/ 15.0 | Error:  9.94% | Add [PDE:0 BC:0 IC:0]</t>
  </si>
  <si>
    <t>Step: 27000 | LBFGS | Ratio/Cap:   5.3/ 15.0 | Error:  7.88% | Add [PDE:0 BC:0 IC:0]</t>
  </si>
  <si>
    <t>Step: 27500 | LBFGS | Ratio/Cap:   5.3/ 15.0 | Error:  2.54% | Add [PDE:0 BC:0 IC:0]</t>
  </si>
  <si>
    <t>Step: 28000 | LBFGS | Ratio/Cap:   5.3/ 15.0 | Error:  2.52% | Add [PDE:0 BC:0 IC:0]</t>
  </si>
  <si>
    <t>Step: 28000 | RAR-L | Ratio/Cap:  16.6/ 15.0 | Error:  2.52% | Add [PDE:5 BC:47 IC:48]</t>
  </si>
  <si>
    <t>Step: 28500 | LBFGS | Ratio/Cap:  16.6/ 15.0 | Error:  2.56% | Add [PDE:0 BC:0 IC:0]</t>
  </si>
  <si>
    <t>Step: 29000 | LBFGS | Ratio/Cap:  16.6/ 15.0 | Error:  2.52% | Add [PDE:0 BC:0 IC:0]</t>
  </si>
  <si>
    <t>Step: 29500 | LBFGS | Ratio/Cap:  16.6/ 15.0 | Error:  2.32% | Add [PDE:0 BC:0 IC:0]</t>
  </si>
  <si>
    <t>Step: 30000 | LBFGS | Ratio/Cap:  16.6/ 15.0 | Error:  2.28% | Add [PDE:0 BC:0 IC:0]</t>
  </si>
  <si>
    <t>Step: 30500 | LBFGS | Ratio/Cap:  16.6/ 15.0 | Error:  2.24% | Add [PDE:0 BC:0 IC:0]</t>
  </si>
  <si>
    <t>Step: 31000 | LBFGS | Ratio/Cap:  16.6/ 15.0 | Error:  1.75% | Add [PDE:0 BC:0 IC:0]</t>
  </si>
  <si>
    <t>Step: 31500 | LBFGS | Ratio/Cap:  16.6/ 15.0 | Error:  1.47% | Add [PDE:0 BC:0 IC:0]</t>
  </si>
  <si>
    <t>Step: 32000 | LBFGS | Ratio/Cap:  16.6/ 15.0 | Error:  1.37% | Add [PDE:0 BC:0 IC:0]</t>
  </si>
  <si>
    <t>Step: 32000 | RAR-L | Ratio/Cap:   9.1/ 15.0 | Error:  1.37% | Add [PDE:100 BC:0 IC:0]</t>
  </si>
  <si>
    <t>Step: 32500 | LBFGS | Ratio/Cap:   9.1/ 15.0 | Error:  1.46% | Add [PDE:0 BC:0 IC:0]</t>
  </si>
  <si>
    <t>Step: 33000 | LBFGS | Ratio/Cap:   9.1/ 15.0 | Error:  1.35% | Add [PDE:0 BC:0 IC:0]</t>
  </si>
  <si>
    <t>Step: 33500 | LBFGS | Ratio/Cap:   9.1/ 15.0 | Error:  1.28% | Add [PDE:0 BC:0 IC:0]</t>
  </si>
  <si>
    <t>Step: 34000 | LBFGS | Ratio/Cap:   9.1/ 15.0 | Error:  1.22% | Add [PDE:0 BC:0 IC:0]</t>
  </si>
  <si>
    <t>Step: 34500 | LBFGS | Ratio/Cap:   9.1/ 15.0 | Error:  1.19% | Add [PDE:0 BC:0 IC:0]</t>
  </si>
  <si>
    <t>Step: 35000 | LBFGS | Ratio/Cap:   9.1/ 15.0 | Error:  1.13% | Add [PDE:0 BC:0 IC:0]</t>
  </si>
  <si>
    <t>Step: 35500 | LBFGS | Ratio/Cap:   9.1/ 15.0 | Error:  1.06% | Add [PDE:0 BC:0 IC:0]</t>
  </si>
  <si>
    <t>Step: 36000 | LBFGS | Ratio/Cap:   9.1/ 15.0 | Error:  0.98% | Add [PDE:0 BC:0 IC:0]</t>
  </si>
  <si>
    <t>Step: 36000 | RAR-L | Ratio/Cap: 150.1/ 15.0 | Error:  0.98% | Add [PDE:0 BC:50 IC:50]</t>
  </si>
  <si>
    <t>Step: 36500 | LBFGS | Ratio/Cap: 150.1/ 15.0 | Error:  1.00% | Add [PDE:0 BC:0 IC:0]</t>
  </si>
  <si>
    <t>Step: 37000 | LBFGS | Ratio/Cap: 150.1/ 15.0 | Error:  0.98% | Add [PDE:0 BC:0 IC:0]</t>
  </si>
  <si>
    <t>Step: 37500 | LBFGS | Ratio/Cap: 150.1/ 15.0 | Error:  0.91% | Add [PDE:0 BC:0 IC:0]</t>
  </si>
  <si>
    <t>Step: 38000 | LBFGS | Ratio/Cap: 150.1/ 15.0 | Error:  0.81% | Add [PDE:0 BC:0 IC:0]</t>
  </si>
  <si>
    <t>Step: 38500 | LBFGS | Ratio/Cap: 150.1/ 15.0 | Error:  0.73% | Add [PDE:0 BC:0 IC:0]</t>
  </si>
  <si>
    <t>Step: 39000 | LBFGS | Ratio/Cap: 150.1/ 15.0 | Error:  0.68% | Add [PDE:0 BC:0 IC:0]</t>
  </si>
  <si>
    <t>Step: 39500 | LBFGS | Ratio/Cap: 150.1/ 15.0 | Error:  0.64% | Add [PDE:0 BC:0 IC:0]</t>
  </si>
  <si>
    <t>Step: 40000 | LBFGS | Ratio/Cap: 150.1/ 15.0 | Error:  0.60% | Add [PDE:0 BC:0 IC:0]</t>
  </si>
  <si>
    <t>Total PDE Points Added: 2014</t>
  </si>
  <si>
    <t>Total BC  Points Added: 192</t>
  </si>
  <si>
    <t>Total IC  Points Added: 194</t>
  </si>
  <si>
    <t>Final S_PDE size: 4014</t>
  </si>
  <si>
    <t>Final S_BC  size: 692</t>
  </si>
  <si>
    <t>Final S_IC  size: 694</t>
  </si>
  <si>
    <t>Final Validation L2 Error (On Ground Truth): 0.60%</t>
  </si>
  <si>
    <t>Step:   500 | Adam  | Ratio/Cap:   0.0/ 15.0 | Error: 54.87% | Add [PDE:0 BC:0 IC:0]</t>
  </si>
  <si>
    <t>Step:  1000 | RAR-A | Ratio/Cap:   0.8/ 15.0 | Error: 51.14% | Add [PDE:100 BC:0 IC:0]</t>
  </si>
  <si>
    <t>Step:  1500 | Adam  | Ratio/Cap:   0.8/ 15.0 | Error: 52.54% | Add [PDE:0 BC:0 IC:0]</t>
  </si>
  <si>
    <t>Step:  2000 | RAR-A | Ratio/Cap:   0.8/ 15.0 | Error: 47.96% | Add [PDE:100 BC:0 IC:0]</t>
  </si>
  <si>
    <t>Step:  2500 | Adam  | Ratio/Cap:   0.8/ 15.0 | Error: 46.65% | Add [PDE:0 BC:0 IC:0]</t>
  </si>
  <si>
    <t>Step:  3000 | RAR-A | Ratio/Cap:   1.0/ 15.0 | Error: 45.13% | Add [PDE:100 BC:0 IC:0]</t>
  </si>
  <si>
    <t>Step:  3500 | Adam  | Ratio/Cap:   1.0/ 15.0 | Error: 46.84% | Add [PDE:0 BC:0 IC:0]</t>
  </si>
  <si>
    <t>Step:  4000 | RAR-A | Ratio/Cap:   0.9/ 15.0 | Error: 46.00% | Add [PDE:100 BC:0 IC:0]</t>
  </si>
  <si>
    <t>Step:  4500 | Adam  | Ratio/Cap:   0.9/ 15.0 | Error: 46.41% | Add [PDE:0 BC:0 IC:0]</t>
  </si>
  <si>
    <t>Step:  5000 | RAR-A | Ratio/Cap:   0.9/ 15.0 | Error: 45.93% | Add [PDE:100 BC:0 IC:0]</t>
  </si>
  <si>
    <t>Step:  5500 | Adam  | Ratio/Cap:   0.9/ 15.0 | Error: 45.29% | Add [PDE:0 BC:0 IC:0]</t>
  </si>
  <si>
    <t>Step:  6000 | RAR-A | Ratio/Cap:   1.9/ 15.0 | Error: 35.38% | Add [PDE:100 BC:0 IC:0]</t>
  </si>
  <si>
    <t>Step:  6500 | Adam  | Ratio/Cap:   1.9/ 15.0 | Error: 30.54% | Add [PDE:0 BC:0 IC:0]</t>
  </si>
  <si>
    <t>Step:  7000 | RAR-A | Ratio/Cap:   3.8/ 15.0 | Error: 28.93% | Add [PDE:100 BC:0 IC:0]</t>
  </si>
  <si>
    <t>Step:  7500 | Adam  | Ratio/Cap:   3.8/ 15.0 | Error: 27.52% | Add [PDE:0 BC:0 IC:0]</t>
  </si>
  <si>
    <t>Step:  8000 | RAR-A | Ratio/Cap:   1.1/ 15.0 | Error: 26.92% | Add [PDE:100 BC:0 IC:0]</t>
  </si>
  <si>
    <t>Step:  8500 | Adam  | Ratio/Cap:   1.1/ 15.0 | Error: 26.04% | Add [PDE:0 BC:0 IC:0]</t>
  </si>
  <si>
    <t>Step:  9000 | RAR-A | Ratio/Cap: 907.5/ 15.0 | Error: 25.30% | Add [PDE:0 BC:50 IC:50]</t>
  </si>
  <si>
    <t>Step:  9500 | Adam  | Ratio/Cap: 907.5/ 15.0 | Error: 24.71% | Add [PDE:0 BC:0 IC:0]</t>
  </si>
  <si>
    <t>Step: 10000 | RAR-A | Ratio/Cap:  16.2/ 15.0 | Error: 24.52% | Add [PDE:9 BC:45 IC:46]</t>
  </si>
  <si>
    <t>Step: 10500 | Adam  | Ratio/Cap:  16.2/ 15.0 | Error: 24.39% | Add [PDE:0 BC:0 IC:0]</t>
  </si>
  <si>
    <t>Step: 11000 | RAR-A | Ratio/Cap:  53.5/ 15.0 | Error: 23.88% | Add [PDE:0 BC:50 IC:50]</t>
  </si>
  <si>
    <t>Step: 11500 | Adam  | Ratio/Cap:  53.5/ 15.0 | Error: 23.60% | Add [PDE:0 BC:0 IC:0]</t>
  </si>
  <si>
    <t>Step: 12000 | RAR-A | Ratio/Cap: 459.0/ 15.0 | Error: 23.68% | Add [PDE:0 BC:50 IC:50]</t>
  </si>
  <si>
    <t>Step: 12500 | Adam  | Ratio/Cap: 459.0/ 15.0 | Error: 22.97% | Add [PDE:0 BC:0 IC:0]</t>
  </si>
  <si>
    <t>Step: 13000 | RAR-A | Ratio/Cap:  56.9/ 15.0 | Error: 22.68% | Add [PDE:0 BC:50 IC:50]</t>
  </si>
  <si>
    <t>Step: 13500 | Adam  | Ratio/Cap:  56.9/ 15.0 | Error: 22.71% | Add [PDE:0 BC:0 IC:0]</t>
  </si>
  <si>
    <t>Step: 14000 | RAR-A | Ratio/Cap: 2441.0/ 15.0 | Error: 22.66% | Add [PDE:0 BC:50 IC:50]</t>
  </si>
  <si>
    <t>Step: 14500 | Adam  | Ratio/Cap: 2441.0/ 15.0 | Error: 22.39% | Add [PDE:0 BC:0 IC:0]</t>
  </si>
  <si>
    <t>Step: 15000 | RAR-A | Ratio/Cap:   6.4/ 15.0 | Error: 22.44% | Add [PDE:100 BC:0 IC:0]</t>
  </si>
  <si>
    <t>Step: 15500 | Adam  | Ratio/Cap:   6.4/ 15.0 | Error: 22.43% | Add [PDE:0 BC:0 IC:0]</t>
  </si>
  <si>
    <t>Step: 16000 | RAR-A | Ratio/Cap:  50.7/ 15.0 | Error: 21.81% | Add [PDE:0 BC:50 IC:50]</t>
  </si>
  <si>
    <t>Step: 16500 | Adam  | Ratio/Cap:  50.7/ 15.0 | Error: 22.47% | Add [PDE:0 BC:0 IC:0]</t>
  </si>
  <si>
    <t>Step: 17000 | RAR-A | Ratio/Cap:   7.9/ 15.0 | Error: 22.48% | Add [PDE:100 BC:0 IC:0]</t>
  </si>
  <si>
    <t>Step: 17500 | Adam  | Ratio/Cap:   7.9/ 15.0 | Error: 22.41% | Add [PDE:0 BC:0 IC:0]</t>
  </si>
  <si>
    <t>Step: 18000 | RAR-A | Ratio/Cap:  21.6/ 15.0 | Error: 22.33% | Add [PDE:1 BC:49 IC:50]</t>
  </si>
  <si>
    <t>Step: 18500 | Adam  | Ratio/Cap:  21.6/ 15.0 | Error: 16.19% | Add [PDE:0 BC:0 IC:0]</t>
  </si>
  <si>
    <t>Step: 19000 | RAR-A | Ratio/Cap:  10.0/ 15.0 | Error: 12.81% | Add [PDE:100 BC:0 IC:0]</t>
  </si>
  <si>
    <t>Step: 19500 | Adam  | Ratio/Cap:  10.0/ 15.0 | Error: 11.26% | Add [PDE:0 BC:0 IC:0]</t>
  </si>
  <si>
    <t>Step: 20000 | RAR-A | Ratio/Cap:   6.7/ 15.0 | Error:  9.11% | Add [PDE:100 BC:0 IC:0]</t>
  </si>
  <si>
    <t>Step: 20500 | LBFGS | Ratio/Cap:   6.7/ 15.0 | Error:  4.70% | Add [PDE:0 BC:0 IC:0]</t>
  </si>
  <si>
    <t>Step: 21000 | LBFGS | Ratio/Cap:   6.7/ 15.0 | Error:  4.21% | Add [PDE:0 BC:0 IC:0]</t>
  </si>
  <si>
    <t>Step: 21500 | LBFGS | Ratio/Cap:   6.7/ 15.0 | Error:  4.42% | Add [PDE:0 BC:0 IC:0]</t>
  </si>
  <si>
    <t>Step: 22000 | LBFGS | Ratio/Cap:   6.7/ 15.0 | Error:  4.03% | Add [PDE:0 BC:0 IC:0]</t>
  </si>
  <si>
    <t>Step: 22500 | LBFGS | Ratio/Cap:   6.7/ 15.0 | Error:  3.99% | Add [PDE:0 BC:0 IC:0]</t>
  </si>
  <si>
    <t>Step: 23000 | LBFGS | Ratio/Cap:   6.7/ 15.0 | Error:  3.80% | Add [PDE:0 BC:0 IC:0]</t>
  </si>
  <si>
    <t>Step: 23500 | LBFGS | Ratio/Cap:   6.7/ 15.0 | Error:  3.85% | Add [PDE:0 BC:0 IC:0]</t>
  </si>
  <si>
    <t>Step: 24000 | LBFGS | Ratio/Cap:   6.7/ 15.0 | Error:  3.61% | Add [PDE:0 BC:0 IC:0]</t>
  </si>
  <si>
    <t>Step: 24000 | RAR-L | Ratio/Cap:   5.2/ 15.0 | Error:  3.61% | Add [PDE:100 BC:0 IC:0]</t>
  </si>
  <si>
    <t>Step: 24500 | LBFGS | Ratio/Cap:   5.2/ 15.0 | Error:  3.58% | Add [PDE:0 BC:0 IC:0]</t>
  </si>
  <si>
    <t>Step: 25000 | LBFGS | Ratio/Cap:   5.2/ 15.0 | Error:  3.29% | Add [PDE:0 BC:0 IC:0]</t>
  </si>
  <si>
    <t>Step: 25500 | LBFGS | Ratio/Cap:   5.2/ 15.0 | Error:  3.15% | Add [PDE:0 BC:0 IC:0]</t>
  </si>
  <si>
    <t>Step: 26000 | LBFGS | Ratio/Cap:   5.2/ 15.0 | Error:  2.95% | Add [PDE:0 BC:0 IC:0]</t>
  </si>
  <si>
    <t>Step: 26500 | LBFGS | Ratio/Cap:   5.2/ 15.0 | Error:  2.75% | Add [PDE:0 BC:0 IC:0]</t>
  </si>
  <si>
    <t>Step: 27000 | LBFGS | Ratio/Cap:   5.2/ 15.0 | Error:  2.42% | Add [PDE:0 BC:0 IC:0]</t>
  </si>
  <si>
    <t>Step: 27500 | LBFGS | Ratio/Cap:   5.2/ 15.0 | Error:  2.42% | Add [PDE:0 BC:0 IC:0]</t>
  </si>
  <si>
    <t>Step: 28000 | LBFGS | Ratio/Cap:   5.2/ 15.0 | Error:  2.36% | Add [PDE:0 BC:0 IC:0]</t>
  </si>
  <si>
    <t>Step: 28000 | RAR-L | Ratio/Cap:  16.8/ 15.0 | Error:  2.36% | Add [PDE:3 BC:48 IC:49]</t>
  </si>
  <si>
    <t>Step: 28500 | LBFGS | Ratio/Cap:  16.8/ 15.0 | Error:  2.26% | Add [PDE:0 BC:0 IC:0]</t>
  </si>
  <si>
    <t>Step: 29000 | LBFGS | Ratio/Cap:  16.8/ 15.0 | Error:  2.23% | Add [PDE:0 BC:0 IC:0]</t>
  </si>
  <si>
    <t>Step: 29500 | LBFGS | Ratio/Cap:  16.8/ 15.0 | Error:  2.11% | Add [PDE:0 BC:0 IC:0]</t>
  </si>
  <si>
    <t>Step: 30000 | LBFGS | Ratio/Cap:  16.8/ 15.0 | Error:  1.99% | Add [PDE:0 BC:0 IC:0]</t>
  </si>
  <si>
    <t>Step: 30500 | LBFGS | Ratio/Cap:  16.8/ 15.0 | Error:  1.90% | Add [PDE:0 BC:0 IC:0]</t>
  </si>
  <si>
    <t>Step: 31000 | LBFGS | Ratio/Cap:  16.8/ 15.0 | Error:  1.81% | Add [PDE:0 BC:0 IC:0]</t>
  </si>
  <si>
    <t>Step: 31500 | LBFGS | Ratio/Cap:  16.8/ 15.0 | Error:  1.77% | Add [PDE:0 BC:0 IC:0]</t>
  </si>
  <si>
    <t>Step: 32000 | LBFGS | Ratio/Cap:  16.8/ 15.0 | Error:  1.68% | Add [PDE:0 BC:0 IC:0]</t>
  </si>
  <si>
    <t>Step: 32000 | RAR-L | Ratio/Cap:   4.3/ 15.0 | Error:  1.68% | Add [PDE:100 BC:0 IC:0]</t>
  </si>
  <si>
    <t>Step: 32500 | LBFGS | Ratio/Cap:   4.3/ 15.0 | Error:  1.60% | Add [PDE:0 BC:0 IC:0]</t>
  </si>
  <si>
    <t>Step: 33000 | LBFGS | Ratio/Cap:   4.3/ 15.0 | Error:  1.10% | Add [PDE:0 BC:0 IC:0]</t>
  </si>
  <si>
    <t>Step: 33500 | LBFGS | Ratio/Cap:   4.3/ 15.0 | Error:  0.98% | Add [PDE:0 BC:0 IC:0]</t>
  </si>
  <si>
    <t>Step: 34000 | LBFGS | Ratio/Cap:   4.3/ 15.0 | Error:  0.93% | Add [PDE:0 BC:0 IC:0]</t>
  </si>
  <si>
    <t>Step: 34500 | LBFGS | Ratio/Cap:   4.3/ 15.0 | Error:  0.81% | Add [PDE:0 BC:0 IC:0]</t>
  </si>
  <si>
    <t>Step: 35000 | LBFGS | Ratio/Cap:   4.3/ 15.0 | Error:  0.75% | Add [PDE:0 BC:0 IC:0]</t>
  </si>
  <si>
    <t>Step: 35500 | LBFGS | Ratio/Cap:   4.3/ 15.0 | Error:  0.65% | Add [PDE:0 BC:0 IC:0]</t>
  </si>
  <si>
    <t>Step: 36000 | LBFGS | Ratio/Cap:   4.3/ 15.0 | Error:  0.66% | Add [PDE:0 BC:0 IC:0]</t>
  </si>
  <si>
    <t>Step: 36000 | RAR-L | Ratio/Cap:  23.4/ 15.0 | Error:  0.66% | Add [PDE:1 BC:49 IC:50]</t>
  </si>
  <si>
    <t>Step: 36500 | LBFGS | Ratio/Cap:  23.4/ 15.0 | Error:  0.66% | Add [PDE:0 BC:0 IC:0]</t>
  </si>
  <si>
    <t>Step: 37000 | LBFGS | Ratio/Cap:  23.4/ 15.0 | Error:  0.65% | Add [PDE:0 BC:0 IC:0]</t>
  </si>
  <si>
    <t>Step: 37500 | LBFGS | Ratio/Cap:  23.4/ 15.0 | Error:  0.63% | Add [PDE:0 BC:0 IC:0]</t>
  </si>
  <si>
    <t>Step: 38000 | LBFGS | Ratio/Cap:  23.4/ 15.0 | Error:  0.62% | Add [PDE:0 BC:0 IC:0]</t>
  </si>
  <si>
    <t>Step: 38500 | LBFGS | Ratio/Cap:  23.4/ 15.0 | Error:  0.61% | Add [PDE:0 BC:0 IC:0]</t>
  </si>
  <si>
    <t>Step: 39000 | LBFGS | Ratio/Cap:  23.4/ 15.0 | Error:  0.58% | Add [PDE:0 BC:0 IC:0]</t>
  </si>
  <si>
    <t>Step: 39500 | LBFGS | Ratio/Cap:  23.4/ 15.0 | Error:  0.56% | Add [PDE:0 BC:0 IC:0]</t>
  </si>
  <si>
    <t>Step: 40000 | LBFGS | Ratio/Cap:  23.4/ 15.0 | Error:  0.53% | Add [PDE:0 BC:0 IC:0]</t>
  </si>
  <si>
    <t>Total PDE Points Added: 1414</t>
  </si>
  <si>
    <t>Total BC  Points Added: 491</t>
  </si>
  <si>
    <t>Total IC  Points Added: 495</t>
  </si>
  <si>
    <t>Final S_PDE size: 3414</t>
  </si>
  <si>
    <t>Final S_BC  size: 991</t>
  </si>
  <si>
    <t>Final S_IC  size: 995</t>
  </si>
  <si>
    <t>Final Validation L2 Error (On Ground Truth): 0.53%</t>
  </si>
  <si>
    <t>Step:   500 | Adam  | Ratio/Cap:   0.0/ 15.0 | Error: 54.78% | Add [PDE:0 BC:0 IC:0]</t>
  </si>
  <si>
    <t>Step:  1000 | RAR-A | Ratio/Cap:   0.9/ 15.0 | Error: 49.07% | Add [PDE:100 BC:0 IC:0]</t>
  </si>
  <si>
    <t>Step:  1500 | Adam  | Ratio/Cap:   0.9/ 15.0 | Error: 50.56% | Add [PDE:0 BC:0 IC:0]</t>
  </si>
  <si>
    <t>Step:  2000 | RAR-A | Ratio/Cap:   0.8/ 15.0 | Error: 48.85% | Add [PDE:100 BC:0 IC:0]</t>
  </si>
  <si>
    <t>Step:  2500 | Adam  | Ratio/Cap:   0.8/ 15.0 | Error: 46.93% | Add [PDE:0 BC:0 IC:0]</t>
  </si>
  <si>
    <t>Step:  3000 | RAR-A | Ratio/Cap:   0.9/ 15.0 | Error: 45.43% | Add [PDE:100 BC:0 IC:0]</t>
  </si>
  <si>
    <t>Step:  3500 | Adam  | Ratio/Cap:   0.9/ 15.0 | Error: 46.43% | Add [PDE:0 BC:0 IC:0]</t>
  </si>
  <si>
    <t>Step:  4000 | RAR-A | Ratio/Cap:   0.7/ 15.0 | Error: 46.06% | Add [PDE:100 BC:0 IC:0]</t>
  </si>
  <si>
    <t>Step:  4500 | Adam  | Ratio/Cap:   0.7/ 15.0 | Error: 45.16% | Add [PDE:0 BC:0 IC:0]</t>
  </si>
  <si>
    <t>Step:  5000 | RAR-A | Ratio/Cap:   1.3/ 15.0 | Error: 42.83% | Add [PDE:100 BC:0 IC:0]</t>
  </si>
  <si>
    <t>Step:  5500 | Adam  | Ratio/Cap:   1.3/ 15.0 | Error: 43.20% | Add [PDE:0 BC:0 IC:0]</t>
  </si>
  <si>
    <t>Step:  6000 | RAR-A | Ratio/Cap:   1.1/ 15.0 | Error: 33.20% | Add [PDE:100 BC:0 IC:0]</t>
  </si>
  <si>
    <t>Step:  6500 | Adam  | Ratio/Cap:   1.1/ 15.0 | Error: 22.84% | Add [PDE:0 BC:0 IC:0]</t>
  </si>
  <si>
    <t>Step:  7000 | RAR-A | Ratio/Cap:   1.6/ 15.0 | Error: 26.09% | Add [PDE:100 BC:0 IC:0]</t>
  </si>
  <si>
    <t>Step:  7500 | Adam  | Ratio/Cap:   1.6/ 15.0 | Error: 25.20% | Add [PDE:0 BC:0 IC:0]</t>
  </si>
  <si>
    <t>Step:  8000 | RAR-A | Ratio/Cap: 892.3/ 15.0 | Error: 24.87% | Add [PDE:0 BC:50 IC:50]</t>
  </si>
  <si>
    <t>Step:  8500 | Adam  | Ratio/Cap: 892.3/ 15.0 | Error: 24.70% | Add [PDE:0 BC:0 IC:0]</t>
  </si>
  <si>
    <t>Step:  9000 | RAR-A | Ratio/Cap: 582.2/ 15.0 | Error: 24.31% | Add [PDE:0 BC:50 IC:50]</t>
  </si>
  <si>
    <t>Step:  9500 | Adam  | Ratio/Cap: 582.2/ 15.0 | Error: 24.29% | Add [PDE:0 BC:0 IC:0]</t>
  </si>
  <si>
    <t>Step: 10000 | RAR-A | Ratio/Cap: 206.7/ 15.0 | Error: 24.36% | Add [PDE:0 BC:50 IC:50]</t>
  </si>
  <si>
    <t>Step: 10500 | Adam  | Ratio/Cap: 206.7/ 15.0 | Error: 24.21% | Add [PDE:0 BC:0 IC:0]</t>
  </si>
  <si>
    <t>Step: 11000 | RAR-A | Ratio/Cap: 4579.0/ 15.0 | Error: 24.03% | Add [PDE:0 BC:50 IC:50]</t>
  </si>
  <si>
    <t>Step: 11500 | Adam  | Ratio/Cap: 4579.0/ 15.0 | Error: 23.96% | Add [PDE:0 BC:0 IC:0]</t>
  </si>
  <si>
    <t>Step: 12000 | RAR-A | Ratio/Cap: 1164.8/ 15.0 | Error: 24.09% | Add [PDE:0 BC:50 IC:50]</t>
  </si>
  <si>
    <t>Step: 12500 | Adam  | Ratio/Cap: 1164.8/ 15.0 | Error: 23.89% | Add [PDE:0 BC:0 IC:0]</t>
  </si>
  <si>
    <t>Step: 13000 | RAR-A | Ratio/Cap:   2.7/ 15.0 | Error: 23.78% | Add [PDE:100 BC:0 IC:0]</t>
  </si>
  <si>
    <t>Step: 13500 | Adam  | Ratio/Cap:   2.7/ 15.0 | Error: 24.03% | Add [PDE:0 BC:0 IC:0]</t>
  </si>
  <si>
    <t>Step: 14000 | RAR-A | Ratio/Cap: 505.0/ 15.0 | Error: 24.00% | Add [PDE:0 BC:50 IC:50]</t>
  </si>
  <si>
    <t>Step: 14500 | Adam  | Ratio/Cap: 505.0/ 15.0 | Error: 24.00% | Add [PDE:0 BC:0 IC:0]</t>
  </si>
  <si>
    <t>Step: 15000 | RAR-A | Ratio/Cap:  50.6/ 15.0 | Error: 23.96% | Add [PDE:0 BC:50 IC:50]</t>
  </si>
  <si>
    <t>Step: 15500 | Adam  | Ratio/Cap:  50.6/ 15.0 | Error: 23.91% | Add [PDE:0 BC:0 IC:0]</t>
  </si>
  <si>
    <t>Step: 16000 | RAR-A | Ratio/Cap: 944.0/ 15.0 | Error: 23.94% | Add [PDE:0 BC:50 IC:50]</t>
  </si>
  <si>
    <t>Step: 16500 | Adam  | Ratio/Cap: 944.0/ 15.0 | Error: 23.88% | Add [PDE:0 BC:0 IC:0]</t>
  </si>
  <si>
    <t>Step: 17000 | RAR-A | Ratio/Cap: 254.6/ 15.0 | Error: 23.87% | Add [PDE:0 BC:50 IC:50]</t>
  </si>
  <si>
    <t>Step: 17500 | Adam  | Ratio/Cap: 254.6/ 15.0 | Error: 23.82% | Add [PDE:0 BC:0 IC:0]</t>
  </si>
  <si>
    <t>Step: 18000 | RAR-A | Ratio/Cap: 365.0/ 15.0 | Error: 23.83% | Add [PDE:0 BC:50 IC:50]</t>
  </si>
  <si>
    <t>Step: 18500 | Adam  | Ratio/Cap: 365.0/ 15.0 | Error: 23.76% | Add [PDE:0 BC:0 IC:0]</t>
  </si>
  <si>
    <t>Step: 19000 | RAR-A | Ratio/Cap: 384.1/ 15.0 | Error: 23.71% | Add [PDE:0 BC:50 IC:50]</t>
  </si>
  <si>
    <t>Step: 19500 | Adam  | Ratio/Cap: 384.1/ 15.0 | Error: 23.82% | Add [PDE:0 BC:0 IC:0]</t>
  </si>
  <si>
    <t>Step: 20000 | RAR-A | Ratio/Cap:  62.4/ 15.0 | Error: 23.69% | Add [PDE:0 BC:50 IC:50]</t>
  </si>
  <si>
    <t>Step: 20500 | LBFGS | Ratio/Cap:  62.4/ 15.0 | Error: 23.64% | Add [PDE:0 BC:0 IC:0]</t>
  </si>
  <si>
    <t>Step: 21000 | LBFGS | Ratio/Cap:  62.4/ 15.0 | Error: 23.52% | Add [PDE:0 BC:0 IC:0]</t>
  </si>
  <si>
    <t>Step: 21500 | LBFGS | Ratio/Cap:  62.4/ 15.0 | Error: 23.47% | Add [PDE:0 BC:0 IC:0]</t>
  </si>
  <si>
    <t>Step: 22000 | LBFGS | Ratio/Cap:  62.4/ 15.0 | Error: 23.35% | Add [PDE:0 BC:0 IC:0]</t>
  </si>
  <si>
    <t>Step: 22500 | LBFGS | Ratio/Cap:  62.4/ 15.0 | Error: 23.21% | Add [PDE:0 BC:0 IC:0]</t>
  </si>
  <si>
    <t>Step: 23000 | LBFGS | Ratio/Cap:  62.4/ 15.0 | Error: 23.04% | Add [PDE:0 BC:0 IC:0]</t>
  </si>
  <si>
    <t>Step: 23500 | LBFGS | Ratio/Cap:  62.4/ 15.0 | Error: 22.57% | Add [PDE:0 BC:0 IC:0]</t>
  </si>
  <si>
    <t>Step: 24000 | LBFGS | Ratio/Cap:  62.4/ 15.0 | Error: 21.98% | Add [PDE:0 BC:0 IC:0]</t>
  </si>
  <si>
    <t>Step: 24000 | RAR-L | Ratio/Cap:  44.1/ 15.0 | Error: 21.98% | Add [PDE:0 BC:50 IC:50]</t>
  </si>
  <si>
    <t>Step: 24500 | LBFGS | Ratio/Cap:  44.1/ 15.0 | Error: 21.29% | Add [PDE:0 BC:0 IC:0]</t>
  </si>
  <si>
    <t>Step: 25000 | LBFGS | Ratio/Cap:  44.1/ 15.0 | Error: 20.78% | Add [PDE:0 BC:0 IC:0]</t>
  </si>
  <si>
    <t>Step: 25500 | LBFGS | Ratio/Cap:  44.1/ 15.0 | Error: 20.21% | Add [PDE:0 BC:0 IC:0]</t>
  </si>
  <si>
    <t>Step: 26000 | LBFGS | Ratio/Cap:  44.1/ 15.0 | Error: 19.62% | Add [PDE:0 BC:0 IC:0]</t>
  </si>
  <si>
    <t>Step: 26500 | LBFGS | Ratio/Cap:  44.1/ 15.0 | Error: 19.17% | Add [PDE:0 BC:0 IC:0]</t>
  </si>
  <si>
    <t>Step: 27000 | LBFGS | Ratio/Cap:  44.1/ 15.0 | Error: 18.83% | Add [PDE:0 BC:0 IC:0]</t>
  </si>
  <si>
    <t>Step: 27500 | LBFGS | Ratio/Cap:  44.1/ 15.0 | Error: 18.73% | Add [PDE:0 BC:0 IC:0]</t>
  </si>
  <si>
    <t>Step: 28000 | LBFGS | Ratio/Cap:  44.1/ 15.0 | Error: 18.71% | Add [PDE:0 BC:0 IC:0]</t>
  </si>
  <si>
    <t>Step: 28000 | RAR-L | Ratio/Cap:  12.2/ 15.0 | Error: 18.71% | Add [PDE:100 BC:0 IC:0]</t>
  </si>
  <si>
    <t>Step: 28500 | LBFGS | Ratio/Cap:  12.2/ 15.0 | Error: 18.65% | Add [PDE:0 BC:0 IC:0]</t>
  </si>
  <si>
    <t>Step: 29000 | LBFGS | Ratio/Cap:  12.2/ 15.0 | Error: 18.57% | Add [PDE:0 BC:0 IC:0]</t>
  </si>
  <si>
    <t>Step: 29500 | LBFGS | Ratio/Cap:  12.2/ 15.0 | Error: 18.38% | Add [PDE:0 BC:0 IC:0]</t>
  </si>
  <si>
    <t>Step: 30000 | LBFGS | Ratio/Cap:  12.2/ 15.0 | Error: 18.26% | Add [PDE:0 BC:0 IC:0]</t>
  </si>
  <si>
    <t>Step: 30500 | LBFGS | Ratio/Cap:  12.2/ 15.0 | Error: 17.83% | Add [PDE:0 BC:0 IC:0]</t>
  </si>
  <si>
    <t>Step: 31000 | LBFGS | Ratio/Cap:  12.2/ 15.0 | Error: 17.32% | Add [PDE:0 BC:0 IC:0]</t>
  </si>
  <si>
    <t>Step: 31500 | LBFGS | Ratio/Cap:  12.2/ 15.0 | Error: 16.69% | Add [PDE:0 BC:0 IC:0]</t>
  </si>
  <si>
    <t>Step: 32000 | LBFGS | Ratio/Cap:  12.2/ 15.0 | Error: 14.43% | Add [PDE:0 BC:0 IC:0]</t>
  </si>
  <si>
    <t>Step: 32000 | RAR-L | Ratio/Cap:  16.3/ 15.0 | Error: 14.43% | Add [PDE:7 BC:46 IC:47]</t>
  </si>
  <si>
    <t>Step: 32500 | LBFGS | Ratio/Cap:  16.3/ 15.0 | Error: 15.87% | Add [PDE:0 BC:0 IC:0]</t>
  </si>
  <si>
    <t>Step: 33000 | LBFGS | Ratio/Cap:  16.3/ 15.0 | Error: 15.96% | Add [PDE:0 BC:0 IC:0]</t>
  </si>
  <si>
    <t>Step: 33500 | LBFGS | Ratio/Cap:  16.3/ 15.0 | Error: 15.18% | Add [PDE:0 BC:0 IC:0]</t>
  </si>
  <si>
    <t>Step: 34000 | LBFGS | Ratio/Cap:  16.3/ 15.0 | Error:  8.77% | Add [PDE:0 BC:0 IC:0]</t>
  </si>
  <si>
    <t>Step: 34500 | LBFGS | Ratio/Cap:  16.3/ 15.0 | Error:  8.32% | Add [PDE:0 BC:0 IC:0]</t>
  </si>
  <si>
    <t>Step: 35000 | LBFGS | Ratio/Cap:  16.3/ 15.0 | Error:  7.45% | Add [PDE:0 BC:0 IC:0]</t>
  </si>
  <si>
    <t>Step: 35500 | LBFGS | Ratio/Cap:  16.3/ 15.0 | Error:  3.15% | Add [PDE:0 BC:0 IC:0]</t>
  </si>
  <si>
    <t>Step: 36000 | LBFGS | Ratio/Cap:  16.3/ 15.0 | Error:  2.24% | Add [PDE:0 BC:0 IC:0]</t>
  </si>
  <si>
    <t>Step: 36000 | RAR-L | Ratio/Cap:  25.8/ 15.0 | Error:  2.24% | Add [PDE:1 BC:49 IC:50]</t>
  </si>
  <si>
    <t>Step: 36500 | LBFGS | Ratio/Cap:  25.8/ 15.0 | Error:  2.14% | Add [PDE:0 BC:0 IC:0]</t>
  </si>
  <si>
    <t>Step: 37000 | LBFGS | Ratio/Cap:  25.8/ 15.0 | Error:  2.02% | Add [PDE:0 BC:0 IC:0]</t>
  </si>
  <si>
    <t>Step: 37500 | LBFGS | Ratio/Cap:  25.8/ 15.0 | Error:  2.04% | Add [PDE:0 BC:0 IC:0]</t>
  </si>
  <si>
    <t>Step: 38000 | LBFGS | Ratio/Cap:  25.8/ 15.0 | Error:  2.04% | Add [PDE:0 BC:0 IC:0]</t>
  </si>
  <si>
    <t>Step: 38500 | LBFGS | Ratio/Cap:  25.8/ 15.0 | Error:  1.90% | Add [PDE:0 BC:0 IC:0]</t>
  </si>
  <si>
    <t>Step: 39000 | LBFGS | Ratio/Cap:  25.8/ 15.0 | Error:  1.86% | Add [PDE:0 BC:0 IC:0]</t>
  </si>
  <si>
    <t>Step: 39500 | LBFGS | Ratio/Cap:  25.8/ 15.0 | Error:  1.67% | Add [PDE:0 BC:0 IC:0]</t>
  </si>
  <si>
    <t>Step: 40000 | LBFGS | Ratio/Cap:  25.8/ 15.0 | Error:  1.61% | Add [PDE:0 BC:0 IC:0]</t>
  </si>
  <si>
    <t>Total PDE Points Added: 908</t>
  </si>
  <si>
    <t>Total BC  Points Added: 745</t>
  </si>
  <si>
    <t>Total IC  Points Added: 747</t>
  </si>
  <si>
    <t>Final S_PDE size: 2908</t>
  </si>
  <si>
    <t>Final S_BC  size: 1245</t>
  </si>
  <si>
    <t>Final S_IC  size: 1247</t>
  </si>
  <si>
    <t>Final Validation L2 Error (On Ground Truth): 1.61%</t>
  </si>
  <si>
    <t>Step:   500 | Adam  | Ratio/Cap:   0.0/ 15.0 | Error: 54.71% | Add [PDE:0 BC:0 IC:0]</t>
  </si>
  <si>
    <t>Step:  1000 | RAR-A | Ratio/Cap:   0.9/ 15.0 | Error: 51.58% | Add [PDE:100 BC:0 IC:0]</t>
  </si>
  <si>
    <t>Step:  1500 | Adam  | Ratio/Cap:   0.9/ 15.0 | Error: 49.08% | Add [PDE:0 BC:0 IC:0]</t>
  </si>
  <si>
    <t>Step:  2000 | RAR-A | Ratio/Cap:   1.1/ 15.0 | Error: 46.68% | Add [PDE:100 BC:0 IC:0]</t>
  </si>
  <si>
    <t>Step:  2500 | Adam  | Ratio/Cap:   1.1/ 15.0 | Error: 48.76% | Add [PDE:0 BC:0 IC:0]</t>
  </si>
  <si>
    <t>Step:  3000 | RAR-A | Ratio/Cap:   0.9/ 15.0 | Error: 48.26% | Add [PDE:100 BC:0 IC:0]</t>
  </si>
  <si>
    <t>Step:  3500 | Adam  | Ratio/Cap:   0.9/ 15.0 | Error: 46.83% | Add [PDE:0 BC:0 IC:0]</t>
  </si>
  <si>
    <t>Step:  4000 | RAR-A | Ratio/Cap:   1.2/ 15.0 | Error: 45.55% | Add [PDE:100 BC:0 IC:0]</t>
  </si>
  <si>
    <t>Step:  4500 | Adam  | Ratio/Cap:   1.2/ 15.0 | Error: 43.67% | Add [PDE:0 BC:0 IC:0]</t>
  </si>
  <si>
    <t>Step:  5000 | RAR-A | Ratio/Cap:   0.6/ 15.0 | Error: 40.70% | Add [PDE:100 BC:0 IC:0]</t>
  </si>
  <si>
    <t>Step:  5500 | Adam  | Ratio/Cap:   0.6/ 15.0 | Error: 37.68% | Add [PDE:0 BC:0 IC:0]</t>
  </si>
  <si>
    <t>Step:  6000 | RAR-A | Ratio/Cap:  57.1/ 15.0 | Error: 34.62% | Add [PDE:0 BC:50 IC:50]</t>
  </si>
  <si>
    <t>Step:  6500 | Adam  | Ratio/Cap:  57.1/ 15.0 | Error: 33.97% | Add [PDE:0 BC:0 IC:0]</t>
  </si>
  <si>
    <t>Step:  7000 | RAR-A | Ratio/Cap: 488.7/ 15.0 | Error: 33.10% | Add [PDE:0 BC:50 IC:50]</t>
  </si>
  <si>
    <t>Step:  7500 | Adam  | Ratio/Cap: 488.7/ 15.0 | Error: 32.66% | Add [PDE:0 BC:0 IC:0]</t>
  </si>
  <si>
    <t>Step:  8000 | RAR-A | Ratio/Cap:   2.4/ 15.0 | Error: 32.32% | Add [PDE:100 BC:0 IC:0]</t>
  </si>
  <si>
    <t>Step:  8500 | Adam  | Ratio/Cap:   2.4/ 15.0 | Error: 25.45% | Add [PDE:0 BC:0 IC:0]</t>
  </si>
  <si>
    <t>Step:  9000 | RAR-A | Ratio/Cap:  16.0/ 15.0 | Error: 25.35% | Add [PDE:12 BC:44 IC:44]</t>
  </si>
  <si>
    <t>Step:  9500 | Adam  | Ratio/Cap:  16.0/ 15.0 | Error: 24.61% | Add [PDE:0 BC:0 IC:0]</t>
  </si>
  <si>
    <t>Step: 10000 | RAR-A | Ratio/Cap:   2.2/ 15.0 | Error: 19.95% | Add [PDE:100 BC:0 IC:0]</t>
  </si>
  <si>
    <t>Step: 10500 | Adam  | Ratio/Cap:   2.2/ 15.0 | Error: 18.34% | Add [PDE:0 BC:0 IC:0]</t>
  </si>
  <si>
    <t>Step: 11000 | RAR-A | Ratio/Cap:   2.4/ 15.0 | Error: 25.92% | Add [PDE:100 BC:0 IC:0]</t>
  </si>
  <si>
    <t>Step: 11500 | Adam  | Ratio/Cap:   2.4/ 15.0 | Error: 26.29% | Add [PDE:0 BC:0 IC:0]</t>
  </si>
  <si>
    <t>Step: 12000 | RAR-A | Ratio/Cap:  28.4/ 15.0 | Error: 26.20% | Add [PDE:1 BC:49 IC:50]</t>
  </si>
  <si>
    <t>Step: 12500 | Adam  | Ratio/Cap:  28.4/ 15.0 | Error: 26.11% | Add [PDE:0 BC:0 IC:0]</t>
  </si>
  <si>
    <t>Step: 13000 | RAR-A | Ratio/Cap: 698.7/ 15.0 | Error: 25.98% | Add [PDE:0 BC:50 IC:50]</t>
  </si>
  <si>
    <t>Step: 13500 | Adam  | Ratio/Cap: 698.7/ 15.0 | Error: 26.04% | Add [PDE:0 BC:0 IC:0]</t>
  </si>
  <si>
    <t>Step: 14000 | RAR-A | Ratio/Cap: 516.2/ 15.0 | Error: 25.92% | Add [PDE:0 BC:50 IC:50]</t>
  </si>
  <si>
    <t>Step: 14500 | Adam  | Ratio/Cap: 516.2/ 15.0 | Error: 25.79% | Add [PDE:0 BC:0 IC:0]</t>
  </si>
  <si>
    <t>Step: 15000 | RAR-A | Ratio/Cap:   9.4/ 15.0 | Error: 25.51% | Add [PDE:100 BC:0 IC:0]</t>
  </si>
  <si>
    <t>Step: 15500 | Adam  | Ratio/Cap:   9.4/ 15.0 | Error: 25.35% | Add [PDE:0 BC:0 IC:0]</t>
  </si>
  <si>
    <t>Step: 16000 | RAR-A | Ratio/Cap: 145.7/ 15.0 | Error: 25.24% | Add [PDE:0 BC:50 IC:50]</t>
  </si>
  <si>
    <t>Step: 16500 | Adam  | Ratio/Cap: 145.7/ 15.0 | Error: 25.38% | Add [PDE:0 BC:0 IC:0]</t>
  </si>
  <si>
    <t>Step: 17000 | RAR-A | Ratio/Cap:   3.5/ 15.0 | Error: 25.47% | Add [PDE:100 BC:0 IC:0]</t>
  </si>
  <si>
    <t>Step: 17500 | Adam  | Ratio/Cap:   3.5/ 15.0 | Error: 15.87% | Add [PDE:0 BC:0 IC:0]</t>
  </si>
  <si>
    <t>Step: 18000 | RAR-A | Ratio/Cap:  21.5/ 15.0 | Error: 15.44% | Add [PDE:1 BC:49 IC:50]</t>
  </si>
  <si>
    <t>Step: 18500 | Adam  | Ratio/Cap:  21.5/ 15.0 | Error: 15.41% | Add [PDE:0 BC:0 IC:0]</t>
  </si>
  <si>
    <t>Step: 19000 | RAR-A | Ratio/Cap:  68.0/ 15.0 | Error: 15.28% | Add [PDE:0 BC:50 IC:50]</t>
  </si>
  <si>
    <t>Step: 19500 | Adam  | Ratio/Cap:  68.0/ 15.0 | Error: 15.16% | Add [PDE:0 BC:0 IC:0]</t>
  </si>
  <si>
    <t>Step: 20000 | RAR-A | Ratio/Cap:   6.6/ 15.0 | Error:  9.42% | Add [PDE:100 BC:0 IC:0]</t>
  </si>
  <si>
    <t>Step: 20500 | LBFGS | Ratio/Cap:   6.6/ 15.0 | Error:  5.36% | Add [PDE:0 BC:0 IC:0]</t>
  </si>
  <si>
    <t>Step: 21000 | LBFGS | Ratio/Cap:   6.6/ 15.0 | Error:  3.33% | Add [PDE:0 BC:0 IC:0]</t>
  </si>
  <si>
    <t>Step: 21500 | LBFGS | Ratio/Cap:   6.6/ 15.0 | Error:  2.92% | Add [PDE:0 BC:0 IC:0]</t>
  </si>
  <si>
    <t>Step: 22000 | LBFGS | Ratio/Cap:   6.6/ 15.0 | Error:  2.38% | Add [PDE:0 BC:0 IC:0]</t>
  </si>
  <si>
    <t>Step: 22500 | LBFGS | Ratio/Cap:   6.6/ 15.0 | Error:  2.26% | Add [PDE:0 BC:0 IC:0]</t>
  </si>
  <si>
    <t>Step: 23000 | LBFGS | Ratio/Cap:   6.6/ 15.0 | Error:  2.19% | Add [PDE:0 BC:0 IC:0]</t>
  </si>
  <si>
    <t>Step: 23500 | LBFGS | Ratio/Cap:   6.6/ 15.0 | Error:  2.00% | Add [PDE:0 BC:0 IC:0]</t>
  </si>
  <si>
    <t>Step: 24000 | LBFGS | Ratio/Cap:   6.6/ 15.0 | Error:  1.73% | Add [PDE:0 BC:0 IC:0]</t>
  </si>
  <si>
    <t>Step: 24000 | RAR-L | Ratio/Cap: 1131.5/ 15.0 | Error:  1.73% | Add [PDE:0 BC:50 IC:50]</t>
  </si>
  <si>
    <t>Step: 24500 | LBFGS | Ratio/Cap: 1131.5/ 15.0 | Error:  1.70% | Add [PDE:0 BC:0 IC:0]</t>
  </si>
  <si>
    <t>Step: 25000 | LBFGS | Ratio/Cap: 1131.5/ 15.0 | Error:  1.60% | Add [PDE:0 BC:0 IC:0]</t>
  </si>
  <si>
    <t>Step: 25500 | LBFGS | Ratio/Cap: 1131.5/ 15.0 | Error:  1.53% | Add [PDE:0 BC:0 IC:0]</t>
  </si>
  <si>
    <t>Step: 26000 | LBFGS | Ratio/Cap: 1131.5/ 15.0 | Error:  1.39% | Add [PDE:0 BC:0 IC:0]</t>
  </si>
  <si>
    <t>Step: 26500 | LBFGS | Ratio/Cap: 1131.5/ 15.0 | Error:  1.27% | Add [PDE:0 BC:0 IC:0]</t>
  </si>
  <si>
    <t>Step: 27000 | LBFGS | Ratio/Cap: 1131.5/ 15.0 | Error:  1.18% | Add [PDE:0 BC:0 IC:0]</t>
  </si>
  <si>
    <t>Step: 27500 | LBFGS | Ratio/Cap: 1131.5/ 15.0 | Error:  1.07% | Add [PDE:0 BC:0 IC:0]</t>
  </si>
  <si>
    <t>Step: 28000 | LBFGS | Ratio/Cap: 1131.5/ 15.0 | Error:  0.97% | Add [PDE:0 BC:0 IC:0]</t>
  </si>
  <si>
    <t>Step: 28000 | RAR-L | Ratio/Cap:  49.0/ 15.0 | Error:  0.97% | Add [PDE:0 BC:50 IC:50]</t>
  </si>
  <si>
    <t>Step: 28500 | LBFGS | Ratio/Cap:  49.0/ 15.0 | Error:  0.96% | Add [PDE:0 BC:0 IC:0]</t>
  </si>
  <si>
    <t>Step: 29000 | LBFGS | Ratio/Cap:  49.0/ 15.0 | Error:  0.95% | Add [PDE:0 BC:0 IC:0]</t>
  </si>
  <si>
    <t>Step: 29500 | LBFGS | Ratio/Cap:  49.0/ 15.0 | Error:  0.94% | Add [PDE:0 BC:0 IC:0]</t>
  </si>
  <si>
    <t>Step: 30000 | LBFGS | Ratio/Cap:  49.0/ 15.0 | Error:  0.91% | Add [PDE:0 BC:0 IC:0]</t>
  </si>
  <si>
    <t>Step: 30500 | LBFGS | Ratio/Cap:  49.0/ 15.0 | Error:  0.87% | Add [PDE:0 BC:0 IC:0]</t>
  </si>
  <si>
    <t>Step: 31000 | LBFGS | Ratio/Cap:  49.0/ 15.0 | Error:  0.82% | Add [PDE:0 BC:0 IC:0]</t>
  </si>
  <si>
    <t>Step: 31500 | LBFGS | Ratio/Cap:  49.0/ 15.0 | Error:  0.77% | Add [PDE:0 BC:0 IC:0]</t>
  </si>
  <si>
    <t>Step: 32000 | LBFGS | Ratio/Cap:  49.0/ 15.0 | Error:  0.76% | Add [PDE:0 BC:0 IC:0]</t>
  </si>
  <si>
    <t>Step: 32000 | RAR-L | Ratio/Cap: 142.6/ 15.0 | Error:  0.76% | Add [PDE:0 BC:50 IC:50]</t>
  </si>
  <si>
    <t>Step: 32500 | LBFGS | Ratio/Cap: 142.6/ 15.0 | Error:  0.75% | Add [PDE:0 BC:0 IC:0]</t>
  </si>
  <si>
    <t>Step: 33000 | LBFGS | Ratio/Cap: 142.6/ 15.0 | Error:  0.75% | Add [PDE:0 BC:0 IC:0]</t>
  </si>
  <si>
    <t>Step: 33500 | LBFGS | Ratio/Cap: 142.6/ 15.0 | Error:  0.74% | Add [PDE:0 BC:0 IC:0]</t>
  </si>
  <si>
    <t>Step: 34000 | LBFGS | Ratio/Cap: 142.6/ 15.0 | Error:  0.74% | Add [PDE:0 BC:0 IC:0]</t>
  </si>
  <si>
    <t>Step: 34500 | LBFGS | Ratio/Cap: 142.6/ 15.0 | Error:  0.72% | Add [PDE:0 BC:0 IC:0]</t>
  </si>
  <si>
    <t>Step: 35000 | LBFGS | Ratio/Cap: 142.6/ 15.0 | Error:  0.70% | Add [PDE:0 BC:0 IC:0]</t>
  </si>
  <si>
    <t>Step: 35500 | LBFGS | Ratio/Cap: 142.6/ 15.0 | Error:  0.69% | Add [PDE:0 BC:0 IC:0]</t>
  </si>
  <si>
    <t>Step: 36000 | LBFGS | Ratio/Cap: 142.6/ 15.0 | Error:  0.68% | Add [PDE:0 BC:0 IC:0]</t>
  </si>
  <si>
    <t>Step: 36000 | RAR-L | Ratio/Cap: 179.5/ 15.0 | Error:  0.68% | Add [PDE:0 BC:50 IC:50]</t>
  </si>
  <si>
    <t>Step: 36500 | LBFGS | Ratio/Cap: 179.5/ 15.0 | Error:  0.68% | Add [PDE:0 BC:0 IC:0]</t>
  </si>
  <si>
    <t>Step: 37000 | LBFGS | Ratio/Cap: 179.5/ 15.0 | Error:  0.67% | Add [PDE:0 BC:0 IC:0]</t>
  </si>
  <si>
    <t>Step: 37500 | LBFGS | Ratio/Cap: 179.5/ 15.0 | Error:  0.67% | Add [PDE:0 BC:0 IC:0]</t>
  </si>
  <si>
    <t>Step: 38000 | LBFGS | Ratio/Cap: 179.5/ 15.0 | Error:  0.66% | Add [PDE:0 BC:0 IC:0]</t>
  </si>
  <si>
    <t>Step: 38500 | LBFGS | Ratio/Cap: 179.5/ 15.0 | Error:  0.66% | Add [PDE:0 BC:0 IC:0]</t>
  </si>
  <si>
    <t>Step: 39000 | LBFGS | Ratio/Cap: 179.5/ 15.0 | Error:  0.66% | Add [PDE:0 BC:0 IC:0]</t>
  </si>
  <si>
    <t>Step: 39500 | LBFGS | Ratio/Cap: 179.5/ 15.0 | Error:  0.63% | Add [PDE:0 BC:0 IC:0]</t>
  </si>
  <si>
    <t>Step: 40000 | LBFGS | Ratio/Cap: 179.5/ 15.0 | Error:  0.59% | Add [PDE:0 BC:0 IC:0]</t>
  </si>
  <si>
    <t>Total PDE Points Added: 1114</t>
  </si>
  <si>
    <t>Total BC  Points Added: 642</t>
  </si>
  <si>
    <t>Total IC  Points Added: 644</t>
  </si>
  <si>
    <t>Final S_PDE size: 3114</t>
  </si>
  <si>
    <t>Final S_BC  size: 1142</t>
  </si>
  <si>
    <t>Final S_IC  size: 1144</t>
  </si>
  <si>
    <t>Final Validation L2 Error (On Ground Truth): 0.59%</t>
  </si>
  <si>
    <t>seed</t>
  </si>
  <si>
    <t>L2%</t>
  </si>
  <si>
    <t>av</t>
  </si>
  <si>
    <t>#__________________________________________________________________________-</t>
  </si>
  <si>
    <t xml:space="preserve">#                      G O L D </t>
  </si>
  <si>
    <t>#__________________________________________________________________________</t>
  </si>
  <si>
    <t>import os</t>
  </si>
  <si>
    <t>import sys</t>
  </si>
  <si>
    <t>import logging</t>
  </si>
  <si>
    <t>import warnings</t>
  </si>
  <si>
    <t>os.environ['TF_CPP_MIN_LOG_LEVEL'] = '3'</t>
  </si>
  <si>
    <t>os.environ['TF_CPP_MIN_VLOG_LEVEL'] = '0'</t>
  </si>
  <si>
    <t>os.environ['AUTOGRAPH_VERBOSITY'] = '0'</t>
  </si>
  <si>
    <t>warnings.filterwarnings('ignore')</t>
  </si>
  <si>
    <t>import tensorflow as tf</t>
  </si>
  <si>
    <t>tf.get_logger().setLevel(logging.ERROR)</t>
  </si>
  <si>
    <t>tf.autograph.set_verbosity(0)</t>
  </si>
  <si>
    <t>import absl.logging</t>
  </si>
  <si>
    <t>absl.logging.set_verbosity(absl.logging.ERROR)</t>
  </si>
  <si>
    <t>import numpy as np</t>
  </si>
  <si>
    <t>import scipy.optimize</t>
  </si>
  <si>
    <t>import matplotlib.pyplot as plt</t>
  </si>
  <si>
    <t>from scipy.interpolate import griddata</t>
  </si>
  <si>
    <t>from scipy.integrate import solve_ivp</t>
  </si>
  <si>
    <t>tf.keras.backend.clear_session()</t>
  </si>
  <si>
    <t>tf.keras.backend.set_floatx('float64')</t>
  </si>
  <si>
    <t>print(f"=== Spectrum-Guided Dual Collocation (TRR-DC) PINN ===")</t>
  </si>
  <si>
    <t>print(f"Equation: {EQUATION_TYPE.upper()} Burgers | Nu: {NU:.5f}")</t>
  </si>
  <si>
    <t>print(f"Curriculum: Trace Ratio Cap relaxes from {TRACE_RATIO_CAP_INITIAL} to {TRACE_RATIO_CAP_FINAL}")</t>
  </si>
  <si>
    <t>print(f"L-BFGS Config: {LBFGS_CHUNKS} Chunks\n")</t>
  </si>
  <si>
    <t>def solve_burgers_numerical(eq_type, nu, nx=2000, nt_eval=100):</t>
  </si>
  <si>
    <t xml:space="preserve">    x = np.linspace(-1, 1, nx)</t>
  </si>
  <si>
    <t xml:space="preserve">    dx = x[1] - x[0]</t>
  </si>
  <si>
    <t xml:space="preserve">    u0 = -np.sin(np.pi * x)</t>
  </si>
  <si>
    <t xml:space="preserve">    def rhs(t, u):</t>
  </si>
  <si>
    <t xml:space="preserve">        u[0] = 0; u[-1] = 0</t>
  </si>
  <si>
    <t xml:space="preserve">        u_x = np.zeros_like(u)</t>
  </si>
  <si>
    <t xml:space="preserve">        u_x[1:-1] = (u[2:] - u[:-2]) / (2 * dx)</t>
  </si>
  <si>
    <t xml:space="preserve">        u_xx = np.zeros_like(u)</t>
  </si>
  <si>
    <t xml:space="preserve">        u_xx[1:-1] = (u[2:] - 2*u[1:-1] + u[:-2]) / (dx**2)</t>
  </si>
  <si>
    <t xml:space="preserve">        if eq_type == 'standard': return -u * u_x + nu * u_xx</t>
  </si>
  <si>
    <t xml:space="preserve">        else: return -(u**2) * u_x + nu * u_xx</t>
  </si>
  <si>
    <t xml:space="preserve">    t_eval = np.linspace(0, 1, nt_eval)</t>
  </si>
  <si>
    <t xml:space="preserve">    sol = solve_ivp(rhs, [0, 1], u0, t_eval=t_eval, method='RK45')</t>
  </si>
  <si>
    <t xml:space="preserve">    return sol.t, x, sol.y.T</t>
  </si>
  <si>
    <t>gt_t, gt_x, gt_u = solve_burgers_numerical(EQUATION_TYPE, NU)</t>
  </si>
  <si>
    <t>def get_exact_value(t_req, x_req):</t>
  </si>
  <si>
    <t xml:space="preserve">    points = np.array([t_req.flatten(), x_req.flatten()]).T</t>
  </si>
  <si>
    <t xml:space="preserve">    T_grid, X_grid = np.meshgrid(gt_t, gt_x, indexing='ij')</t>
  </si>
  <si>
    <t xml:space="preserve">    points_src = np.array([T_grid.flatten(), X_grid.flatten()]).T</t>
  </si>
  <si>
    <t xml:space="preserve">    values_src = gt_u.flatten()</t>
  </si>
  <si>
    <t xml:space="preserve">    u_interp = griddata(points_src, values_src, points, method='linear')</t>
  </si>
  <si>
    <t xml:space="preserve">    return u_interp.reshape(t_req.shape)</t>
  </si>
  <si>
    <t>x_l2_eval, t_l2_eval = np.linspace(-1, 1, 100), np.linspace(0, 1, 100)</t>
  </si>
  <si>
    <t>X_grid_l2, T_grid_l2 = np.meshgrid(x_l2_eval, t_l2_eval)</t>
  </si>
  <si>
    <t>X_flat_l2 = tf.cast(np.hstack((X_grid_l2.flatten()[:, None], T_grid_l2.flatten()[:, None])), tf.float64)</t>
  </si>
  <si>
    <t>U_exact_l2 = get_exact_value(T_grid_l2, X_grid_l2)</t>
  </si>
  <si>
    <t>t_bc = np.random.uniform(0, 1, (N_BOUNDARY, 1))</t>
  </si>
  <si>
    <t>x_bc_neg = -1 * np.ones((N_BOUNDARY // 2, 1))</t>
  </si>
  <si>
    <t>x_bc_pos = np.ones((N_BOUNDARY // 2, 1))</t>
  </si>
  <si>
    <t xml:space="preserve">X_bc_init = np.concatenate([np.hstack((x_bc_neg, t_bc[:N_BOUNDARY//2])), </t>
  </si>
  <si>
    <t xml:space="preserve">                            np.hstack((x_bc_pos, t_bc[N_BOUNDARY//2:]))])</t>
  </si>
  <si>
    <t>U_bc_init = np.zeros((N_BOUNDARY, 1))</t>
  </si>
  <si>
    <t>x_ic = np.random.uniform(-1, 1, (N_INITIAL, 1))</t>
  </si>
  <si>
    <t>t_ic = np.zeros((N_INITIAL, 1))</t>
  </si>
  <si>
    <t>X_ic_init = np.hstack((x_ic, t_ic))</t>
  </si>
  <si>
    <t>U_ic_init = -np.sin(np.pi * x_ic)</t>
  </si>
  <si>
    <t>S_BC_np = X_bc_init.copy()</t>
  </si>
  <si>
    <t>U_BC_np = U_bc_init.copy()</t>
  </si>
  <si>
    <t>S_IC_np = X_ic_init.copy()</t>
  </si>
  <si>
    <t>U_IC_np = U_ic_init.copy()</t>
  </si>
  <si>
    <t>x_c_np = np.random.uniform(-1, 1, (N_INITIAL_COLLOCATION, 1))</t>
  </si>
  <si>
    <t>t_c_np = np.random.uniform(0, 1, (N_INITIAL_COLLOCATION, 1))</t>
  </si>
  <si>
    <t>S_PDE_np = np.hstack((x_c_np, t_c_np))</t>
  </si>
  <si>
    <t>class PINN(tf.keras.Model):</t>
  </si>
  <si>
    <t xml:space="preserve">    def __init__(self):</t>
  </si>
  <si>
    <t xml:space="preserve">        super().__init__()</t>
  </si>
  <si>
    <t xml:space="preserve">        self.hidden_layers = [tf.keras.layers.Dense(20, activation='tanh', dtype='float64') for _ in range(4)]</t>
  </si>
  <si>
    <t xml:space="preserve">        self.out = tf.keras.layers.Dense(1, dtype='float64')</t>
  </si>
  <si>
    <t xml:space="preserve">    def call(self, x):</t>
  </si>
  <si>
    <t xml:space="preserve">        for l in self.hidden_layers: x = l(x)</t>
  </si>
  <si>
    <t xml:space="preserve">        return self.out(x)</t>
  </si>
  <si>
    <t>model = PINN()</t>
  </si>
  <si>
    <t>optim = tf.keras.optimizers.Adam(LEARNING_RATE)</t>
  </si>
  <si>
    <t>history = {'epoch': [], 'trace_pde': [], 'trace_bc': [], 'trace_ic': [], 'ratio': [], 'l2_error': [], 'trace_cap': [],</t>
  </si>
  <si>
    <t xml:space="preserve">           'cum_pde': [], 'cum_bc': [], 'cum_ic': []}</t>
  </si>
  <si>
    <t>global_step = 0</t>
  </si>
  <si>
    <t>total_pde_added = 0</t>
  </si>
  <si>
    <t>total_bc_added = 0</t>
  </si>
  <si>
    <t>total_ic_added = 0</t>
  </si>
  <si>
    <t>@tf.function</t>
  </si>
  <si>
    <t>def compute_loss(x_col, t_col, x_bc, u_bc_true, x_ic, u_ic_true):</t>
  </si>
  <si>
    <t xml:space="preserve">    # PDE Loss</t>
  </si>
  <si>
    <t xml:space="preserve">    with tf.GradientTape(persistent=True) as tape2:</t>
  </si>
  <si>
    <t xml:space="preserve">        tape2.watch(x_col); tape2.watch(t_col)</t>
  </si>
  <si>
    <t xml:space="preserve">        with tf.GradientTape(persistent=True) as tape1:</t>
  </si>
  <si>
    <t xml:space="preserve">            tape1.watch(x_col); tape1.watch(t_col)</t>
  </si>
  <si>
    <t xml:space="preserve">            u = model(tf.concat([x_col, t_col], axis=1))</t>
  </si>
  <si>
    <t xml:space="preserve">        u_x = tape1.gradient(u, x_col)</t>
  </si>
  <si>
    <t xml:space="preserve">        u_t = tape1.gradient(u, t_col)</t>
  </si>
  <si>
    <t xml:space="preserve">    u_xx = tape2.gradient(u_x, x_col)</t>
  </si>
  <si>
    <t xml:space="preserve">    del tape1; del tape2</t>
  </si>
  <si>
    <t xml:space="preserve">    </t>
  </si>
  <si>
    <t xml:space="preserve">    f = u_t + u * u_x - NU * u_xx if EQUATION_TYPE == 'standard' else u_t + (u**2) * u_x - NU * u_xx</t>
  </si>
  <si>
    <t xml:space="preserve">    lf = tf.reduce_mean(tf.square(f))</t>
  </si>
  <si>
    <t xml:space="preserve">    # Boundary Loss</t>
  </si>
  <si>
    <t xml:space="preserve">    lb = tf.reduce_mean(tf.square(model(x_bc) - u_bc_true))</t>
  </si>
  <si>
    <t xml:space="preserve">    # Initial Loss</t>
  </si>
  <si>
    <t xml:space="preserve">    lic = tf.reduce_mean(tf.square(model(x_ic) - u_ic_true))</t>
  </si>
  <si>
    <t xml:space="preserve">    return lb, lic, lf</t>
  </si>
  <si>
    <t>def train_bc_ic(x_bc, u_bc_true, x_ic, u_ic_true):</t>
  </si>
  <si>
    <t xml:space="preserve">    with tf.GradientTape() as tape:</t>
  </si>
  <si>
    <t xml:space="preserve">        lb = tf.reduce_mean(tf.square(model(x_bc) - u_bc_true))</t>
  </si>
  <si>
    <t xml:space="preserve">        lic = tf.reduce_mean(tf.square(model(x_ic) - u_ic_true))</t>
  </si>
  <si>
    <t xml:space="preserve">        loss = lb + lic</t>
  </si>
  <si>
    <t xml:space="preserve">    optim.apply_gradients(zip(tape.gradient(loss, model.trainable_variables), model.trainable_variables))</t>
  </si>
  <si>
    <t>def train_step_adam(x_col, t_col, x_bc, u_bc_true, x_ic, u_ic_true):</t>
  </si>
  <si>
    <t xml:space="preserve">        lb, lic, lf = compute_loss(x_col, t_col, x_bc, u_bc_true, x_ic, u_ic_true)</t>
  </si>
  <si>
    <t xml:space="preserve">        loss = lb + lic + lf</t>
  </si>
  <si>
    <t xml:space="preserve">    grads_total = tape.gradient(loss, model.trainable_variables)</t>
  </si>
  <si>
    <t xml:space="preserve">    optim.apply_gradients(zip(grads_total, model.trainable_variables))</t>
  </si>
  <si>
    <t xml:space="preserve">    return loss</t>
  </si>
  <si>
    <t>def compute_empirical_trace(x_points, loss_type="pde"):</t>
  </si>
  <si>
    <t xml:space="preserve">    """</t>
  </si>
  <si>
    <t xml:space="preserve">    מחשב את הטרייס (גודל הסקלאר של סכום הגרדיאנטים בריבוע) עבור קבוצת נקודות.</t>
  </si>
  <si>
    <t xml:space="preserve">        if loss_type == "pde":</t>
  </si>
  <si>
    <t xml:space="preserve">            x_col = x_points[:, 0:1]</t>
  </si>
  <si>
    <t xml:space="preserve">            t_col = x_points[:, 1:2]</t>
  </si>
  <si>
    <t xml:space="preserve">            with tf.GradientTape(persistent=True) as t2:</t>
  </si>
  <si>
    <t xml:space="preserve">                t2.watch(x_col); t2.watch(t_col)</t>
  </si>
  <si>
    <t xml:space="preserve">                with tf.GradientTape(persistent=True) as t1:</t>
  </si>
  <si>
    <t xml:space="preserve">                    t1.watch(x_col); t1.watch(t_col)</t>
  </si>
  <si>
    <t xml:space="preserve">                    u = model(tf.concat([x_col, t_col], axis=1))</t>
  </si>
  <si>
    <t xml:space="preserve">                u_x = t1.gradient(u, x_col)</t>
  </si>
  <si>
    <t xml:space="preserve">                u_t = t1.gradient(u, t_col)</t>
  </si>
  <si>
    <t xml:space="preserve">            u_xx = t2.gradient(u_x, x_col)</t>
  </si>
  <si>
    <t xml:space="preserve">            del t1; del t2</t>
  </si>
  <si>
    <t xml:space="preserve">            f = u_t + u * u_x - NU * u_xx if EQUATION_TYPE == 'standard' else u_t + (u**2) * u_x - NU * u_xx</t>
  </si>
  <si>
    <t xml:space="preserve">            loss = tf.reduce_mean(tf.square(f))</t>
  </si>
  <si>
    <t xml:space="preserve">        </t>
  </si>
  <si>
    <t xml:space="preserve">        elif loss_type == "bc":</t>
  </si>
  <si>
    <t xml:space="preserve">            u_bc = model(x_points)</t>
  </si>
  <si>
    <t xml:space="preserve">            loss = tf.reduce_mean(tf.square(u_bc)) </t>
  </si>
  <si>
    <t xml:space="preserve">            </t>
  </si>
  <si>
    <t xml:space="preserve">        elif loss_type == "ic":</t>
  </si>
  <si>
    <t xml:space="preserve">            x_ic = x_points[:, 0:1]</t>
  </si>
  <si>
    <t xml:space="preserve">            u_ic_true = -tf.sin(np.pi * x_ic)</t>
  </si>
  <si>
    <t xml:space="preserve">            u_ic = model(x_points)</t>
  </si>
  <si>
    <t xml:space="preserve">            loss = tf.reduce_mean(tf.square(u_ic - u_ic_true))</t>
  </si>
  <si>
    <t xml:space="preserve">    grads = tape.gradient(loss, model.trainable_variables)</t>
  </si>
  <si>
    <t xml:space="preserve">    trace = tf.reduce_sum([tf.reduce_sum(tf.square(g)) for g in grads if g is not None])</t>
  </si>
  <si>
    <t xml:space="preserve">    return trace</t>
  </si>
  <si>
    <t>def compute_residuals_pde(x_col, t_col):</t>
  </si>
  <si>
    <t xml:space="preserve">        with tf.GradientTape(persistent=True) as tape1:  # תוקן כאן persistent=True</t>
  </si>
  <si>
    <t xml:space="preserve">    del tape1; del tape2  # נמחק בצורה בטוחה</t>
  </si>
  <si>
    <t xml:space="preserve">    return tf.abs(f)</t>
  </si>
  <si>
    <t>def compute_residuals_bc(x_bc):</t>
  </si>
  <si>
    <t xml:space="preserve">    return tf.abs(model(x_bc))</t>
  </si>
  <si>
    <t>def calculate_trr_dc_allocation(T_PDE, T_BC, T_IC, tau, delta_N, alpha=ALPHA_GAIN):</t>
  </si>
  <si>
    <t xml:space="preserve">    """פונקציית ההקצאה עם תמיכה משולבת באילוצי שפה והתחלה."""</t>
  </si>
  <si>
    <t xml:space="preserve">    T_Constraints = T_BC + T_IC</t>
  </si>
  <si>
    <t xml:space="preserve">    rho = T_PDE / (T_Constraints + 1e-8)</t>
  </si>
  <si>
    <t xml:space="preserve">    argument = alpha * (rho - tau)</t>
  </si>
  <si>
    <t xml:space="preserve">    sigma = 1.0 / (1.0 + np.exp(-argument))</t>
  </si>
  <si>
    <t xml:space="preserve">    N_Constraints = int(np.floor(delta_N * sigma))</t>
  </si>
  <si>
    <t xml:space="preserve">    N_PDE = delta_N - N_Constraints</t>
  </si>
  <si>
    <t xml:space="preserve">    N_BC = N_Constraints // 2</t>
  </si>
  <si>
    <t xml:space="preserve">    N_IC = N_Constraints - N_BC</t>
  </si>
  <si>
    <t xml:space="preserve">    return N_PDE, N_BC, N_IC, rho</t>
  </si>
  <si>
    <t>def trr_dc_update_step(S_PDE, S_BC, S_IC, U_BC, U_IC, tau_cap):</t>
  </si>
  <si>
    <t xml:space="preserve">    # יצירת מאגרי קנדידטים גלובליים</t>
  </si>
  <si>
    <t xml:space="preserve">    pool_x = np.random.uniform(-1, 1, (N_DENSE_GRID, 1))</t>
  </si>
  <si>
    <t xml:space="preserve">    pool_t = np.random.uniform(0, 1, (N_DENSE_GRID, 1))</t>
  </si>
  <si>
    <t xml:space="preserve">    pool_PDE = np.hstack((pool_x, pool_t))</t>
  </si>
  <si>
    <t xml:space="preserve">    pool_t_bc = np.random.uniform(0, 1, (N_DENSE_GRID, 1))</t>
  </si>
  <si>
    <t xml:space="preserve">    pool_x_bc = np.where(np.random.rand(N_DENSE_GRID, 1) &gt; 0.5, 1.0, -1.0)</t>
  </si>
  <si>
    <t xml:space="preserve">    pool_BC = np.hstack((pool_x_bc, pool_t_bc))</t>
  </si>
  <si>
    <t xml:space="preserve">    pool_x_ic = np.random.uniform(-1, 1, (N_DENSE_GRID, 1))</t>
  </si>
  <si>
    <t xml:space="preserve">    pool_t_ic = np.zeros((N_DENSE_GRID, 1))</t>
  </si>
  <si>
    <t xml:space="preserve">    pool_IC = np.hstack((pool_x_ic, pool_t_ic))</t>
  </si>
  <si>
    <t xml:space="preserve">    # דגימה קטנה לחישוב טרייס מהיר</t>
  </si>
  <si>
    <t xml:space="preserve">    idx_pde = np.random.choice(S_PDE.shape[0], min(NTK_SAMPLE_SIZE, S_PDE.shape[0]), replace=False)</t>
  </si>
  <si>
    <t xml:space="preserve">    idx_bc = np.random.choice(S_BC.shape[0], min(NTK_SAMPLE_SIZE, S_BC.shape[0]), replace=False)</t>
  </si>
  <si>
    <t xml:space="preserve">    idx_ic = np.random.choice(S_IC.shape[0], min(NTK_SAMPLE_SIZE, S_IC.shape[0]), replace=False)</t>
  </si>
  <si>
    <t xml:space="preserve">    T_PDE = compute_empirical_trace(tf.cast(S_PDE[idx_pde], tf.float64), "pde").numpy()</t>
  </si>
  <si>
    <t xml:space="preserve">    T_BC = compute_empirical_trace(tf.cast(S_BC[idx_bc], tf.float64), "bc").numpy()</t>
  </si>
  <si>
    <t xml:space="preserve">    T_IC = compute_empirical_trace(tf.cast(S_IC[idx_ic], tf.float64), "ic").numpy()</t>
  </si>
  <si>
    <t xml:space="preserve">    N_PDE, N_BC_add, N_IC_add, current_rho = calculate_trr_dc_allocation(</t>
  </si>
  <si>
    <t xml:space="preserve">        T_PDE, T_BC, T_IC, tau_cap, N_ADD_RAR, ALPHA_GAIN</t>
  </si>
  <si>
    <t xml:space="preserve">    )</t>
  </si>
  <si>
    <t xml:space="preserve">    if N_ADD_RAR == 0:</t>
  </si>
  <si>
    <t xml:space="preserve">         return S_PDE, S_BC, S_IC, U_BC, U_IC, current_rho, T_PDE, T_BC, T_IC, 0, 0, 0</t>
  </si>
  <si>
    <t xml:space="preserve">    # -- PDE (Residual based + NMS) --</t>
  </si>
  <si>
    <t xml:space="preserve">    actual_pde_added = 0</t>
  </si>
  <si>
    <t xml:space="preserve">    if N_PDE &gt; 0:</t>
  </si>
  <si>
    <t xml:space="preserve">        res_pde = np.zeros(N_DENSE_GRID)</t>
  </si>
  <si>
    <t xml:space="preserve">        for i in range(0, N_DENSE_GRID, BATCH_SIZE):</t>
  </si>
  <si>
    <t xml:space="preserve">            end_idx = min(i + BATCH_SIZE, N_DENSE_GRID)</t>
  </si>
  <si>
    <t xml:space="preserve">            res_out = compute_residuals_pde(</t>
  </si>
  <si>
    <t xml:space="preserve">                tf.cast(pool_PDE[i:end_idx, 0:1], tf.float64), </t>
  </si>
  <si>
    <t xml:space="preserve">                tf.cast(pool_PDE[i:end_idx, 1:2], tf.float64)</t>
  </si>
  <si>
    <t xml:space="preserve">            )</t>
  </si>
  <si>
    <t xml:space="preserve">            res_pde[i:end_idx] = res_out.numpy().flatten()</t>
  </si>
  <si>
    <t xml:space="preserve">        idx_pde_cand = np.argsort(res_pde)[::-1]</t>
  </si>
  <si>
    <t xml:space="preserve">        new_pde = []</t>
  </si>
  <si>
    <t xml:space="preserve">        r_sq = REPULSION_RADIUS**2</t>
  </si>
  <si>
    <t xml:space="preserve">        for idx in idx_pde_cand:</t>
  </si>
  <si>
    <t xml:space="preserve">            if len(new_pde) &gt;= N_PDE: break</t>
  </si>
  <si>
    <t xml:space="preserve">            pt = pool_PDE[idx]</t>
  </si>
  <si>
    <t xml:space="preserve">            if len(S_PDE) &gt; 0 and np.min(np.sum((S_PDE - pt)**2, axis=1)) &lt; r_sq: continue</t>
  </si>
  <si>
    <t xml:space="preserve">            if len(new_pde) &gt; 0:</t>
  </si>
  <si>
    <t xml:space="preserve">                 if np.min(np.sum((np.array(new_pde) - pt)**2, axis=1)) &lt; r_sq: continue</t>
  </si>
  <si>
    <t xml:space="preserve">            new_pde.append(pt)</t>
  </si>
  <si>
    <t xml:space="preserve">        if len(new_pde) &gt; 0:</t>
  </si>
  <si>
    <t xml:space="preserve">            S_PDE = np.vstack([S_PDE, new_pde])</t>
  </si>
  <si>
    <t xml:space="preserve">            actual_pde_added = len(new_pde)</t>
  </si>
  <si>
    <t xml:space="preserve">    # -- BC (Residual based) --</t>
  </si>
  <si>
    <t xml:space="preserve">    actual_bc_added = 0</t>
  </si>
  <si>
    <t xml:space="preserve">    if N_BC_add &gt; 0:</t>
  </si>
  <si>
    <t xml:space="preserve">         res_bc = np.zeros(N_DENSE_GRID)</t>
  </si>
  <si>
    <t xml:space="preserve">         for i in range(0, N_DENSE_GRID, BATCH_SIZE):</t>
  </si>
  <si>
    <t xml:space="preserve">            res_out = compute_residuals_bc(tf.cast(pool_BC[i:end_idx], tf.float64))</t>
  </si>
  <si>
    <t xml:space="preserve">            res_bc[i:end_idx] = res_out.numpy().flatten()</t>
  </si>
  <si>
    <t xml:space="preserve">         idx_bc_cand = np.argsort(res_bc)[::-1][:N_BC_add]</t>
  </si>
  <si>
    <t xml:space="preserve">         new_bc = pool_BC[idx_bc_cand]</t>
  </si>
  <si>
    <t xml:space="preserve">         if len(new_bc) &gt; 0:</t>
  </si>
  <si>
    <t xml:space="preserve">             S_BC = np.vstack([S_BC, new_bc])</t>
  </si>
  <si>
    <t xml:space="preserve">             U_BC = np.vstack([U_BC, np.zeros((len(new_bc), 1))])</t>
  </si>
  <si>
    <t xml:space="preserve">             actual_bc_added = len(new_bc)</t>
  </si>
  <si>
    <t xml:space="preserve">    # -- IC (Uniform) --</t>
  </si>
  <si>
    <t xml:space="preserve">    actual_ic_added = 0</t>
  </si>
  <si>
    <t xml:space="preserve">    if N_IC_add &gt; 0:</t>
  </si>
  <si>
    <t xml:space="preserve">         idx_ic_cand = np.random.choice(pool_IC.shape[0], N_IC_add, replace=False)</t>
  </si>
  <si>
    <t xml:space="preserve">         new_ic = pool_IC[idx_ic_cand]</t>
  </si>
  <si>
    <t xml:space="preserve">         if len(new_ic) &gt; 0:</t>
  </si>
  <si>
    <t xml:space="preserve">             S_IC = np.vstack([S_IC, new_ic])</t>
  </si>
  <si>
    <t xml:space="preserve">             new_u_ic = -np.sin(np.pi * new_ic[:, 0:1])</t>
  </si>
  <si>
    <t xml:space="preserve">             U_IC = np.vstack([U_IC, new_u_ic])</t>
  </si>
  <si>
    <t xml:space="preserve">             actual_ic_added = len(new_ic)</t>
  </si>
  <si>
    <t xml:space="preserve">    return S_PDE, S_BC, S_IC, U_BC, U_IC, current_rho, T_PDE, T_BC, T_IC, actual_pde_added, actual_bc_added, actual_ic_added</t>
  </si>
  <si>
    <t>def get_current_trace_cap(epoch, total_epochs):</t>
  </si>
  <si>
    <t xml:space="preserve">    progress = epoch / float(total_epochs)</t>
  </si>
  <si>
    <t xml:space="preserve">    return TRACE_RATIO_CAP_INITIAL + progress * (TRACE_RATIO_CAP_FINAL - TRACE_RATIO_CAP_INITIAL)</t>
  </si>
  <si>
    <t>def evaluate_and_log(epoch, optimizer, current_cap, rho, err, added_pde, added_bc, added_ic):</t>
  </si>
  <si>
    <t xml:space="preserve">    added_str = f"| Add [PDE:{added_pde} BC:{added_bc} IC:{added_ic}]"</t>
  </si>
  <si>
    <t xml:space="preserve">    print(f"Step: {epoch:5d} | {optimizer:5s} | Ratio/Cap: {rho:5.1f}/{current_cap:5.1f} | Error: {err:6.2%} {added_str}")</t>
  </si>
  <si>
    <t>print(f"--- Stage 0: Pre-training Anchors ({EPOCHS_PRETRAIN} epochs) ---")</t>
  </si>
  <si>
    <t xml:space="preserve">for i in range(EPOCHS_PRETRAIN): </t>
  </si>
  <si>
    <t xml:space="preserve">    train_bc_ic(tf.cast(S_BC_np, tf.float64), tf.cast(U_BC_np, tf.float64),</t>
  </si>
  <si>
    <t xml:space="preserve">                tf.cast(S_IC_np, tf.float64), tf.cast(U_IC_np, tf.float64))</t>
  </si>
  <si>
    <t>print(f"\n--- Stage 1: Adam Training (TRR-DC) ---")</t>
  </si>
  <si>
    <t>for epoch in range(EPOCHS_ADAM + 1):</t>
  </si>
  <si>
    <t xml:space="preserve">    current_cap = get_current_trace_cap(epoch, TOTAL_STEPS)</t>
  </si>
  <si>
    <t xml:space="preserve">    if epoch &gt; 0 and epoch % PRINT_FREQ == 0:</t>
  </si>
  <si>
    <t xml:space="preserve">        if epoch % RESAMPLE_FREQ_ADAM == 0:</t>
  </si>
  <si>
    <t xml:space="preserve">            S_PDE_np, S_BC_np, S_IC_np, U_BC_np, U_IC_np, rho, t_pde, t_bc, t_ic, a_pde, a_bc, a_ic = trr_dc_update_step(</t>
  </si>
  <si>
    <t xml:space="preserve">                S_PDE_np, S_BC_np, S_IC_np, U_BC_np, U_IC_np, current_cap)</t>
  </si>
  <si>
    <t xml:space="preserve">            total_pde_added += a_pde</t>
  </si>
  <si>
    <t xml:space="preserve">            total_bc_added += a_bc</t>
  </si>
  <si>
    <t xml:space="preserve">            total_ic_added += a_ic</t>
  </si>
  <si>
    <t xml:space="preserve">            U_pred_l2 = model(X_flat_l2).numpy().reshape(X_grid_l2.shape)</t>
  </si>
  <si>
    <t xml:space="preserve">            rel_err = np.linalg.norm(U_exact_l2 - U_pred_l2) / np.linalg.norm(U_exact_l2)</t>
  </si>
  <si>
    <t xml:space="preserve">            evaluate_and_log(epoch, "RAR-A", current_cap, rho, rel_err, a_pde, a_bc, a_ic)</t>
  </si>
  <si>
    <t xml:space="preserve">            history['epoch'].append(epoch)</t>
  </si>
  <si>
    <t xml:space="preserve">            history['l2_error'].append(rel_err)</t>
  </si>
  <si>
    <t xml:space="preserve">            history['trace_pde'].append(t_pde)</t>
  </si>
  <si>
    <t xml:space="preserve">            history['trace_bc'].append(t_bc)</t>
  </si>
  <si>
    <t xml:space="preserve">            history['trace_ic'].append(t_ic)</t>
  </si>
  <si>
    <t xml:space="preserve">            history['ratio'].append(rho)</t>
  </si>
  <si>
    <t xml:space="preserve">            history['trace_cap'].append(current_cap)</t>
  </si>
  <si>
    <t xml:space="preserve">            history['cum_pde'].append(total_pde_added)</t>
  </si>
  <si>
    <t xml:space="preserve">            history['cum_bc'].append(total_bc_added)</t>
  </si>
  <si>
    <t xml:space="preserve">            history['cum_ic'].append(total_ic_added)</t>
  </si>
  <si>
    <t xml:space="preserve">        else:</t>
  </si>
  <si>
    <t xml:space="preserve">            last_rho = history['ratio'][-1] if len(history['ratio']) &gt; 0 else 0.0</t>
  </si>
  <si>
    <t xml:space="preserve">            evaluate_and_log(epoch, "Adam", current_cap, last_rho, rel_err, 0, 0, 0)</t>
  </si>
  <si>
    <t xml:space="preserve">    if epoch &lt; EPOCHS_ADAM:</t>
  </si>
  <si>
    <t xml:space="preserve">        train_step_adam(</t>
  </si>
  <si>
    <t xml:space="preserve">            tf.cast(S_PDE_np[:,0:1], tf.float64), tf.cast(S_PDE_np[:,1:2], tf.float64),</t>
  </si>
  <si>
    <t xml:space="preserve">            tf.cast(S_BC_np, tf.float64), tf.cast(U_BC_np, tf.float64),</t>
  </si>
  <si>
    <t xml:space="preserve">            tf.cast(S_IC_np, tf.float64), tf.cast(U_IC_np, tf.float64)</t>
  </si>
  <si>
    <t xml:space="preserve">        )</t>
  </si>
  <si>
    <t>print(f"\n--- Stage 2: Chunked L-BFGS Fine-Tuning ---")</t>
  </si>
  <si>
    <t>def compute_loss_and_grads_tf_final(x_pde, t_pde, x_bc, u_bc, x_ic, u_ic):</t>
  </si>
  <si>
    <t xml:space="preserve">        lb, lic, lf = compute_loss(x_pde, t_pde, x_bc, u_bc, x_ic, u_ic)</t>
  </si>
  <si>
    <t xml:space="preserve">    flat_grads = tf.concat([tf.reshape(g, [-1]) for g in grads], axis=0)</t>
  </si>
  <si>
    <t xml:space="preserve">    return loss, flat_grads</t>
  </si>
  <si>
    <t>def get_loss_and_grad_wrapper(x_p, t_p, x_b, u_b, x_i, u_i):</t>
  </si>
  <si>
    <t xml:space="preserve">    def loss_and_grad_wrapper(weights_1d):</t>
  </si>
  <si>
    <t xml:space="preserve">        start = 0</t>
  </si>
  <si>
    <t xml:space="preserve">        for var in model.trainable_variables:</t>
  </si>
  <si>
    <t xml:space="preserve">            size = tf.size(var).numpy()</t>
  </si>
  <si>
    <t xml:space="preserve">            var.assign(tf.reshape(weights_1d[start:start+size], var.shape))</t>
  </si>
  <si>
    <t xml:space="preserve">            start += size</t>
  </si>
  <si>
    <t xml:space="preserve">        loss, grads = compute_loss_and_grads_tf_final(x_p, t_p, x_b, u_b, x_i, u_i)</t>
  </si>
  <si>
    <t xml:space="preserve">        return loss.numpy().astype(np.float64), grads.numpy().astype(np.float64)</t>
  </si>
  <si>
    <t xml:space="preserve">    return loss_and_grad_wrapper</t>
  </si>
  <si>
    <t>def lbfgs_callback(xk):</t>
  </si>
  <si>
    <t xml:space="preserve">    global global_step</t>
  </si>
  <si>
    <t xml:space="preserve">    global_step += 1</t>
  </si>
  <si>
    <t xml:space="preserve">    if global_step % PRINT_FREQ == 0:</t>
  </si>
  <si>
    <t xml:space="preserve">        current_cap = get_current_trace_cap(global_step, TOTAL_STEPS)</t>
  </si>
  <si>
    <t xml:space="preserve">        U_pred_l2 = model(X_flat_l2).numpy().reshape(X_grid_l2.shape)</t>
  </si>
  <si>
    <t xml:space="preserve">        rel_err = np.linalg.norm(U_exact_l2 - U_pred_l2) / np.linalg.norm(U_exact_l2)</t>
  </si>
  <si>
    <t xml:space="preserve">        last_rho = history['ratio'][-1] if len(history['ratio']) &gt; 0 else 0.0</t>
  </si>
  <si>
    <t xml:space="preserve">        evaluate_and_log(global_step, "LBFGS", current_cap, last_rho, rel_err, 0, 0, 0)</t>
  </si>
  <si>
    <t>for chunk in range(LBFGS_CHUNKS):</t>
  </si>
  <si>
    <t xml:space="preserve">    print(f"\n-- Starting L-BFGS Chunk {chunk + 1}/{LBFGS_CHUNKS} --")</t>
  </si>
  <si>
    <t xml:space="preserve">    wrapper_func = get_loss_and_grad_wrapper(</t>
  </si>
  <si>
    <t xml:space="preserve">        tf.cast(S_PDE_np[:,0:1], tf.float64), tf.cast(S_PDE_np[:,1:2], tf.float64),</t>
  </si>
  <si>
    <t xml:space="preserve">        tf.cast(S_BC_np, tf.float64), tf.cast(U_BC_np, tf.float64),</t>
  </si>
  <si>
    <t xml:space="preserve">        tf.cast(S_IC_np, tf.float64), tf.cast(U_IC_np, tf.float64)</t>
  </si>
  <si>
    <t xml:space="preserve">    scipy.optimize.minimize(</t>
  </si>
  <si>
    <t xml:space="preserve">        fun=wrapper_func, </t>
  </si>
  <si>
    <t xml:space="preserve">        x0=np.concatenate([w.numpy().flatten() for w in model.trainable_variables]), </t>
  </si>
  <si>
    <t xml:space="preserve">        method='L-BFGS-B', jac=True, callback=lbfgs_callback,</t>
  </si>
  <si>
    <t xml:space="preserve">        # השינוי כאן: אנו נותנים לו חופש מוחלט להעריך את הפונקציה כמה שירצה במהלך ה-Line Search</t>
  </si>
  <si>
    <t xml:space="preserve">        options={'maxiter': chunk_iters, 'maxfun': 50000, 'ftol': LBFGS_FTOL}</t>
  </si>
  <si>
    <t xml:space="preserve">    if chunk &lt; LBFGS_CHUNKS - 1:</t>
  </si>
  <si>
    <t xml:space="preserve">        S_PDE_np, S_BC_np, S_IC_np, U_BC_np, U_IC_np, rho, t_pde, t_bc, t_ic, a_pde, a_bc, a_ic = trr_dc_update_step(</t>
  </si>
  <si>
    <t xml:space="preserve">            S_PDE_np, S_BC_np, S_IC_np, U_BC_np, U_IC_np, current_cap)</t>
  </si>
  <si>
    <t xml:space="preserve">        total_pde_added += a_pde</t>
  </si>
  <si>
    <t xml:space="preserve">        total_bc_added += a_bc</t>
  </si>
  <si>
    <t xml:space="preserve">        total_ic_added += a_ic</t>
  </si>
  <si>
    <t xml:space="preserve">        evaluate_and_log(global_step, "RAR-L", current_cap, rho, rel_err, a_pde, a_bc, a_ic)</t>
  </si>
  <si>
    <t xml:space="preserve">        history['epoch'].append(global_step)</t>
  </si>
  <si>
    <t xml:space="preserve">        history['l2_error'].append(rel_err)</t>
  </si>
  <si>
    <t xml:space="preserve">        history['trace_pde'].append(t_pde)</t>
  </si>
  <si>
    <t xml:space="preserve">        history['trace_bc'].append(t_bc)</t>
  </si>
  <si>
    <t xml:space="preserve">        history['trace_ic'].append(t_ic)</t>
  </si>
  <si>
    <t xml:space="preserve">        history['ratio'].append(rho)</t>
  </si>
  <si>
    <t xml:space="preserve">        history['trace_cap'].append(current_cap)</t>
  </si>
  <si>
    <t xml:space="preserve">        history['cum_pde'].append(total_pde_added)</t>
  </si>
  <si>
    <t xml:space="preserve">        history['cum_bc'].append(total_bc_added)</t>
  </si>
  <si>
    <t xml:space="preserve">        history['cum_ic'].append(total_ic_added)</t>
  </si>
  <si>
    <t>print(f"\n--- Optimization Complete ---")</t>
  </si>
  <si>
    <t>print(f"=== Point Sampling Summary ===")</t>
  </si>
  <si>
    <t>print(f"Total PDE Points Added: {total_pde_added}")</t>
  </si>
  <si>
    <t>print(f"Total BC  Points Added: {total_bc_added}")</t>
  </si>
  <si>
    <t>print(f"Total IC  Points Added: {total_ic_added}")</t>
  </si>
  <si>
    <t>print(f"Final S_PDE size: {len(S_PDE_np)}")</t>
  </si>
  <si>
    <t>print(f"Final S_BC  size: {len(S_BC_np)}")</t>
  </si>
  <si>
    <t>print(f"Final S_IC  size: {len(S_IC_np)}\n")</t>
  </si>
  <si>
    <t>U_pred = model.predict(X_flat_l2, verbose=0).reshape(X_grid_l2.shape)</t>
  </si>
  <si>
    <t>final_l2 = np.linalg.norm(U_exact_l2 - U_pred) / np.linalg.norm(U_exact_l2)</t>
  </si>
  <si>
    <t>print(f"Final Validation L2 Error (On Ground Truth): {final_l2:.2%}")</t>
  </si>
  <si>
    <t>title_str = f"Eq: {EQUATION_TYPE.upper()} | Configuration: TRR-DC (Spectrum-Guided)"</t>
  </si>
  <si>
    <t>fig, ax = plt.subplots(1, 3, figsize=(18, 5))</t>
  </si>
  <si>
    <t>fig.suptitle(title_str + f" | Final Error: {final_l2:.2%}", fontweight='bold')</t>
  </si>
  <si>
    <t>c0 = ax[0].contourf(T_grid_l2, X_grid_l2, U_pred, levels=50, cmap='jet')</t>
  </si>
  <si>
    <t>fig.colorbar(c0, ax=ax[0]); ax[0].set_title('PINN Prediction')</t>
  </si>
  <si>
    <t>ax[0].set_xlabel('Time (t)'); ax[0].set_ylabel('Space (x)')</t>
  </si>
  <si>
    <t>c1 = ax[1].contourf(T_grid_l2, X_grid_l2, np.abs(U_exact_l2 - U_pred), levels=50, cmap='inferno')</t>
  </si>
  <si>
    <t>fig.colorbar(c1, ax=ax[1]); ax[1].set_title('Absolute Error')</t>
  </si>
  <si>
    <t>ax[1].set_xlabel('Time (t)'); ax[1].set_ylabel('Space (x)')</t>
  </si>
  <si>
    <t>for t_val, color in {0.2: 'green', 0.5: 'gold', 0.8: 'blue'}.items():</t>
  </si>
  <si>
    <t xml:space="preserve">    idx = np.argmin(np.abs(t_l2_eval - t_val))</t>
  </si>
  <si>
    <t xml:space="preserve">    ax[2].plot(x_l2_eval, U_exact_l2[idx, :], ls='-', lw=2.5, alpha=0.5, color=color)</t>
  </si>
  <si>
    <t xml:space="preserve">    ax[2].plot(x_l2_eval, U_pred[idx, :], ls=':', lw=3, color=color, label=f't={t_val}')</t>
  </si>
  <si>
    <t>ax[2].set_title('Wave Profiles'); ax[2].legend()</t>
  </si>
  <si>
    <t>plt.tight_layout(); plt.savefig("trrdc_results.png")</t>
  </si>
  <si>
    <t>fig2, ax2 = plt.subplots(1, 2, figsize=(14, 5))</t>
  </si>
  <si>
    <t>fig2.suptitle("TRR-DC Spectrum-Guided Diagnostics", fontweight='bold')</t>
  </si>
  <si>
    <t>ax2[0].plot(history['epoch'], history['trace_pde'], label='Trace($K_{PDE}$)', color='darkred', lw=2)</t>
  </si>
  <si>
    <t>ax2[0].plot(history['epoch'], history['trace_bc'], label='Trace($K_{BC}$)', color='darkblue', lw=2)</t>
  </si>
  <si>
    <t>ax2[0].plot(history['epoch'], history['trace_ic'], label='Trace($K_{IC}$)', color='darkgreen', lw=2)</t>
  </si>
  <si>
    <t>ax2[0].axvline(EPOCHS_ADAM, color='black', ls='--', alpha=0.5, label='L-BFGS Start')</t>
  </si>
  <si>
    <t>ax2[0].set_yscale('log'); ax2[0].set_xlabel('Epochs / Steps'); ax2[0].set_ylabel('Spectral Power')</t>
  </si>
  <si>
    <t>ax2[0].set_title('NTK Spectral Traces &amp; L2 Error'); ax2[0].grid(alpha=0.3)</t>
  </si>
  <si>
    <t>ax2_l2 = ax2[0].twinx()</t>
  </si>
  <si>
    <t>l2_percent = np.array(history['l2_error']) * 100</t>
  </si>
  <si>
    <t>ax2_l2.plot(history['epoch'], l2_percent, label='L2 Error (%)', color='darkorange', lw=2.5, ls='-.')</t>
  </si>
  <si>
    <t>ax2_l2.set_ylabel('L2 Error (%)', color='darkorange')</t>
  </si>
  <si>
    <t>lines_1, labels_1 = ax2[0].get_legend_handles_labels()</t>
  </si>
  <si>
    <t>lines_2, labels_2 = ax2_l2.get_legend_handles_labels()</t>
  </si>
  <si>
    <t>ax2[0].legend(lines_1 + lines_2, labels_1 + labels_2, loc='center right')</t>
  </si>
  <si>
    <t>ax2[1].plot(history['epoch'], history['ratio'], label='Ratio (PDE / Constraints)', color='purple', lw=2)</t>
  </si>
  <si>
    <t>ax2[1].plot(history['epoch'], history['trace_cap'], label='Curriculum Trace Cap $\\tau$', color='black', ls=':', lw=2)</t>
  </si>
  <si>
    <t>ax2[1].axvline(EPOCHS_ADAM, color='black', ls='--', alpha=0.5)</t>
  </si>
  <si>
    <t>ax2[1].set_yscale('log'); ax2[1].set_title('Trace Ratio &amp; Points Addition')</t>
  </si>
  <si>
    <t>ax2[1].set_xlabel('Epochs / Steps'); ax2[1].set_ylabel('Ratio (Log Scale)', color='purple')</t>
  </si>
  <si>
    <t>ax2[1].tick_params(axis='y', labelcolor='purple')</t>
  </si>
  <si>
    <t>ax2[1].grid(alpha=0.3)</t>
  </si>
  <si>
    <t>ax2_pts = ax2[1].twinx()</t>
  </si>
  <si>
    <t>ax2_pts.step(history['epoch'], history['cum_pde'], label='Added PDE', color='red', lw=2, where='post')</t>
  </si>
  <si>
    <t>ax2_pts.step(history['epoch'], history['cum_bc'], label='Added BC', color='blue', lw=2, where='post')</t>
  </si>
  <si>
    <t>ax2_pts.step(history['epoch'], history['cum_ic'], label='Added IC', color='green', lw=2, where='post')</t>
  </si>
  <si>
    <t>ax2_pts.set_ylabel('Cumulative Points Added')</t>
  </si>
  <si>
    <t>lines_ratio, labels_ratio = ax2[1].get_legend_handles_labels()</t>
  </si>
  <si>
    <t>lines_pts, labels_pts = ax2_pts.get_legend_handles_labels()</t>
  </si>
  <si>
    <t>ax2[1].legend(lines_ratio + lines_pts, labels_ratio + labels_pts, loc='upper left', fontsize=9)</t>
  </si>
  <si>
    <t>plt.tight_layout(); plt.savefig("trrdc_diagnostics.png")</t>
  </si>
  <si>
    <t>plt.figure(figsize=(7, 5))</t>
  </si>
  <si>
    <t>plt.scatter(t_c_np, x_c_np, color='gray', s=3, alpha=0.4, label='Initial Points')</t>
  </si>
  <si>
    <t>if len(S_PDE_np) &gt; N_INITIAL_COLLOCATION:</t>
  </si>
  <si>
    <t xml:space="preserve">    plt.scatter(S_PDE_np[N_INITIAL_COLLOCATION:, 1], S_PDE_np[N_INITIAL_COLLOCATION:, 0], color='red', s=8, alpha=0.8, label='PDE Add (TRR-DC)')</t>
  </si>
  <si>
    <t>if len(S_BC_np) &gt; N_BOUNDARY:</t>
  </si>
  <si>
    <t xml:space="preserve">    plt.scatter(S_BC_np[N_BOUNDARY:, 1], S_BC_np[N_BOUNDARY:, 0], color='blue', s=8, alpha=0.8, marker='s', label='BC Add (TRR-DC)')</t>
  </si>
  <si>
    <t>if len(S_IC_np) &gt; N_INITIAL:</t>
  </si>
  <si>
    <t xml:space="preserve">    plt.scatter(S_IC_np[N_INITIAL:, 1], S_IC_np[N_INITIAL:, 0], color='green', s=8, alpha=0.8, marker='x', label='IC Add (TRR-DC)')</t>
  </si>
  <si>
    <t>plt.title('Final Collocation Points Topology (TRR-DC Regulated)', fontweight='bold')</t>
  </si>
  <si>
    <t>plt.xlabel('Time (t)'); plt.ylabel('Space (x)')</t>
  </si>
  <si>
    <t>plt.legend(loc='center left', bbox_to_anchor=(1, 0.5)); plt.grid(alpha=0.2)</t>
  </si>
  <si>
    <t>plt.tight_layout(); plt.savefig("trrdc_collocation_points.png")</t>
  </si>
  <si>
    <t>plt.show()</t>
  </si>
  <si>
    <t>date:</t>
  </si>
  <si>
    <t>19.7.2026</t>
  </si>
  <si>
    <t xml:space="preserve">LBFGS </t>
  </si>
  <si>
    <t>chanks</t>
  </si>
  <si>
    <t>Niters of every chunk</t>
  </si>
  <si>
    <t>add at every chunk</t>
  </si>
  <si>
    <t>ADAM</t>
  </si>
  <si>
    <t>total iters</t>
  </si>
  <si>
    <t>initial Nc</t>
  </si>
  <si>
    <t>every cycle add</t>
  </si>
  <si>
    <t>Nadam</t>
  </si>
  <si>
    <t xml:space="preserve">add every </t>
  </si>
  <si>
    <t>NLFBGS</t>
  </si>
  <si>
    <t>Nbc+ic initial</t>
  </si>
  <si>
    <t>Nc initial</t>
  </si>
  <si>
    <t>stdev</t>
  </si>
  <si>
    <t>SBa-PINN</t>
  </si>
  <si>
    <t>Vanila PINN</t>
  </si>
  <si>
    <t>vanila PINN</t>
  </si>
  <si>
    <t>Sba PINN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</si>
</sst>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'Nc_effect on L2 norm'!$R$13</c:f>
              <c:strCache>
                <c:ptCount val="1"/>
                <c:pt idx="0">
                  <c:v>vanila PINN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'Nc_effect on L2 norm'!$Q$14:$Q$16</c:f>
              <c:numCache>
                <c:formatCode>General</c:formatCode>
                <c:ptCount val="3"/>
                <c:pt idx="0">
                  <c:v>1200</c:v>
                </c:pt>
                <c:pt idx="1">
                  <c:v>2700</c:v>
                </c:pt>
                <c:pt idx="2">
                  <c:v>4900</c:v>
                </c:pt>
              </c:numCache>
            </c:numRef>
          </c:xVal>
          <c:yVal>
            <c:numRef>
              <c:f>'Nc_effect on L2 norm'!$R$14:$R$16</c:f>
              <c:numCache>
                <c:formatCode>General</c:formatCode>
                <c:ptCount val="3"/>
                <c:pt idx="0">
                  <c:v>38.89</c:v>
                </c:pt>
                <c:pt idx="1">
                  <c:v>31.766666666666669</c:v>
                </c:pt>
                <c:pt idx="2">
                  <c:v>22.837500000000002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ED-4714-9EEC-8D460D20588C}"/>
            </c:ext>
          </c:extLst>
        </c:ser>
        <c:ser>
          <c:idx val="1"/>
          <c:order val="1"/>
          <c:tx>
            <c:strRef>
              <c:f>'Nc_effect on L2 norm'!$S$13</c:f>
              <c:strCache>
                <c:ptCount val="1"/>
                <c:pt idx="0">
                  <c:v>Sba PINN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'Nc_effect on L2 norm'!$Q$14:$Q$16</c:f>
              <c:numCache>
                <c:formatCode>General</c:formatCode>
                <c:ptCount val="3"/>
                <c:pt idx="0">
                  <c:v>1200</c:v>
                </c:pt>
                <c:pt idx="1">
                  <c:v>2700</c:v>
                </c:pt>
                <c:pt idx="2">
                  <c:v>4900</c:v>
                </c:pt>
              </c:numCache>
            </c:numRef>
          </c:xVal>
          <c:yVal>
            <c:numRef>
              <c:f>'Nc_effect on L2 norm'!$S$14:$S$16</c:f>
              <c:numCache>
                <c:formatCode>General</c:formatCode>
                <c:ptCount val="3"/>
                <c:pt idx="0">
                  <c:v>27.95</c:v>
                </c:pt>
                <c:pt idx="1">
                  <c:v>11.093</c:v>
                </c:pt>
                <c:pt idx="2">
                  <c:v>2.7359999999999998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ED-4714-9EEC-8D460D205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8438880"/>
        <c:axId val="1858439360"/>
      </c:scatterChart>
      <c:valAx>
        <c:axId val="185843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858439360"/>
        <c:crosses val="autoZero"/>
        <c:crossBetween val="midCat"/>
      </c:valAx>
      <c:valAx>
        <c:axId val="185843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85843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542925</xdr:colOff>
      <xdr:row>8</xdr:row>
      <xdr:rowOff>14287</xdr:rowOff>
    </xdr:from>
    <xdr:to>
      <xdr:col>27</xdr:col>
      <xdr:colOff>238125</xdr:colOff>
      <xdr:row>22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D15A31-C343-EDBF-FCB3-3CB82ADAA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D889-8CCE-4A87-9BF4-910C03363E6D}">
  <dimension ref="A1:M70"/>
  <sheetViews>
    <sheetView workbookViewId="0">
      <selection activeCell="J2" sqref="J2:J11"/>
    </sheetView>
  </sheetViews>
  <sheetFormatPr defaultRowHeight="15" x14ac:dyDescent="0.25"/>
  <sheetData>
    <row r="1" spans="1:10" x14ac:dyDescent="0.25">
      <c r="A1" t="s">
        <v>1256</v>
      </c>
      <c r="B1" t="s">
        <v>1257</v>
      </c>
      <c r="I1" t="s">
        <v>851</v>
      </c>
      <c r="J1" t="s">
        <v>852</v>
      </c>
    </row>
    <row r="2" spans="1:10" x14ac:dyDescent="0.25">
      <c r="A2" t="s">
        <v>855</v>
      </c>
      <c r="I2">
        <v>1</v>
      </c>
      <c r="J2">
        <v>0.47</v>
      </c>
    </row>
    <row r="3" spans="1:10" x14ac:dyDescent="0.25">
      <c r="A3" t="s">
        <v>856</v>
      </c>
      <c r="I3">
        <v>2</v>
      </c>
      <c r="J3">
        <v>0.85</v>
      </c>
    </row>
    <row r="4" spans="1:10" x14ac:dyDescent="0.25">
      <c r="I4">
        <v>3</v>
      </c>
      <c r="J4">
        <v>0.89</v>
      </c>
    </row>
    <row r="5" spans="1:10" x14ac:dyDescent="0.25">
      <c r="A5" t="s">
        <v>857</v>
      </c>
      <c r="I5">
        <v>4</v>
      </c>
      <c r="J5">
        <v>2.58</v>
      </c>
    </row>
    <row r="6" spans="1:10" x14ac:dyDescent="0.25">
      <c r="A6" t="s">
        <v>858</v>
      </c>
      <c r="I6">
        <v>5</v>
      </c>
      <c r="J6">
        <v>18</v>
      </c>
    </row>
    <row r="7" spans="1:10" x14ac:dyDescent="0.25">
      <c r="A7" t="s">
        <v>859</v>
      </c>
      <c r="I7">
        <v>6</v>
      </c>
      <c r="J7">
        <v>1.24</v>
      </c>
    </row>
    <row r="8" spans="1:10" x14ac:dyDescent="0.25">
      <c r="A8" t="s">
        <v>860</v>
      </c>
      <c r="I8">
        <v>7</v>
      </c>
      <c r="J8">
        <v>0.6</v>
      </c>
    </row>
    <row r="9" spans="1:10" x14ac:dyDescent="0.25">
      <c r="I9">
        <v>8</v>
      </c>
      <c r="J9">
        <v>0.53</v>
      </c>
    </row>
    <row r="10" spans="1:10" x14ac:dyDescent="0.25">
      <c r="A10" t="s">
        <v>0</v>
      </c>
      <c r="I10">
        <v>9</v>
      </c>
      <c r="J10">
        <v>1.61</v>
      </c>
    </row>
    <row r="11" spans="1:10" x14ac:dyDescent="0.25">
      <c r="A11" t="s">
        <v>1</v>
      </c>
      <c r="I11">
        <v>10</v>
      </c>
      <c r="J11">
        <v>0.59</v>
      </c>
    </row>
    <row r="12" spans="1:10" x14ac:dyDescent="0.25">
      <c r="A12" t="s">
        <v>0</v>
      </c>
      <c r="I12" t="s">
        <v>853</v>
      </c>
      <c r="J12">
        <f>AVERAGE(J2:J11)</f>
        <v>2.7359999999999998</v>
      </c>
    </row>
    <row r="13" spans="1:10" x14ac:dyDescent="0.25">
      <c r="A13" t="s">
        <v>861</v>
      </c>
      <c r="J13">
        <f>STDEV(J2:J11)</f>
        <v>5.4021974952585525</v>
      </c>
    </row>
    <row r="14" spans="1:10" x14ac:dyDescent="0.25">
      <c r="A14" t="s">
        <v>862</v>
      </c>
    </row>
    <row r="15" spans="1:10" x14ac:dyDescent="0.25">
      <c r="A15" t="s">
        <v>863</v>
      </c>
    </row>
    <row r="16" spans="1:10" x14ac:dyDescent="0.25">
      <c r="A16" t="s">
        <v>864</v>
      </c>
    </row>
    <row r="17" spans="1:13" x14ac:dyDescent="0.25">
      <c r="I17" t="s">
        <v>1264</v>
      </c>
      <c r="J17">
        <v>2000</v>
      </c>
    </row>
    <row r="18" spans="1:13" x14ac:dyDescent="0.25">
      <c r="A18" t="s">
        <v>865</v>
      </c>
    </row>
    <row r="19" spans="1:13" x14ac:dyDescent="0.25">
      <c r="A19" t="s">
        <v>866</v>
      </c>
      <c r="J19" t="s">
        <v>1263</v>
      </c>
      <c r="K19" t="s">
        <v>1259</v>
      </c>
      <c r="L19" t="s">
        <v>1260</v>
      </c>
      <c r="M19" t="s">
        <v>1261</v>
      </c>
    </row>
    <row r="20" spans="1:13" x14ac:dyDescent="0.25">
      <c r="A20" t="s">
        <v>867</v>
      </c>
      <c r="I20" t="s">
        <v>1258</v>
      </c>
      <c r="J20">
        <v>20000</v>
      </c>
      <c r="K20">
        <v>5</v>
      </c>
      <c r="L20">
        <v>4000</v>
      </c>
      <c r="M20">
        <v>100</v>
      </c>
    </row>
    <row r="21" spans="1:13" x14ac:dyDescent="0.25">
      <c r="I21" t="s">
        <v>1262</v>
      </c>
      <c r="J21">
        <v>20000</v>
      </c>
      <c r="K21">
        <v>20</v>
      </c>
      <c r="L21">
        <v>1000</v>
      </c>
      <c r="M21">
        <v>100</v>
      </c>
    </row>
    <row r="22" spans="1:13" x14ac:dyDescent="0.25">
      <c r="A22" t="s">
        <v>868</v>
      </c>
    </row>
    <row r="23" spans="1:13" x14ac:dyDescent="0.25">
      <c r="A23" t="s">
        <v>869</v>
      </c>
    </row>
    <row r="25" spans="1:13" x14ac:dyDescent="0.25">
      <c r="A25" t="s">
        <v>870</v>
      </c>
    </row>
    <row r="26" spans="1:13" x14ac:dyDescent="0.25">
      <c r="A26" t="s">
        <v>871</v>
      </c>
    </row>
    <row r="27" spans="1:13" x14ac:dyDescent="0.25">
      <c r="A27" t="s">
        <v>872</v>
      </c>
    </row>
    <row r="28" spans="1:13" x14ac:dyDescent="0.25">
      <c r="A28" t="s">
        <v>873</v>
      </c>
    </row>
    <row r="29" spans="1:13" x14ac:dyDescent="0.25">
      <c r="A29" t="s">
        <v>874</v>
      </c>
    </row>
    <row r="31" spans="1:13" x14ac:dyDescent="0.25">
      <c r="A31" t="s">
        <v>875</v>
      </c>
    </row>
    <row r="32" spans="1:13" x14ac:dyDescent="0.25">
      <c r="A32" t="s">
        <v>876</v>
      </c>
    </row>
    <row r="34" spans="1:1" x14ac:dyDescent="0.25">
      <c r="A34" t="s">
        <v>0</v>
      </c>
    </row>
    <row r="35" spans="1:1" x14ac:dyDescent="0.25">
      <c r="A35" t="s">
        <v>2</v>
      </c>
    </row>
    <row r="36" spans="1:1" x14ac:dyDescent="0.25">
      <c r="A36" t="s">
        <v>0</v>
      </c>
    </row>
    <row r="37" spans="1:1" x14ac:dyDescent="0.25">
      <c r="A37" t="s">
        <v>189</v>
      </c>
    </row>
    <row r="38" spans="1:1" x14ac:dyDescent="0.25">
      <c r="A38" t="s">
        <v>190</v>
      </c>
    </row>
    <row r="40" spans="1:1" x14ac:dyDescent="0.25">
      <c r="A40" t="s">
        <v>3</v>
      </c>
    </row>
    <row r="41" spans="1:1" x14ac:dyDescent="0.25">
      <c r="A41" t="s">
        <v>191</v>
      </c>
    </row>
    <row r="42" spans="1:1" x14ac:dyDescent="0.25">
      <c r="A42" t="s">
        <v>192</v>
      </c>
    </row>
    <row r="43" spans="1:1" x14ac:dyDescent="0.25">
      <c r="A43" t="s">
        <v>193</v>
      </c>
    </row>
    <row r="44" spans="1:1" x14ac:dyDescent="0.25">
      <c r="A44" t="s">
        <v>194</v>
      </c>
    </row>
    <row r="45" spans="1:1" x14ac:dyDescent="0.25">
      <c r="A45" t="s">
        <v>195</v>
      </c>
    </row>
    <row r="46" spans="1:1" x14ac:dyDescent="0.25">
      <c r="A46" t="s">
        <v>196</v>
      </c>
    </row>
    <row r="47" spans="1:1" x14ac:dyDescent="0.25">
      <c r="A47" t="s">
        <v>197</v>
      </c>
    </row>
    <row r="49" spans="1:1" x14ac:dyDescent="0.25">
      <c r="A49" t="s">
        <v>4</v>
      </c>
    </row>
    <row r="50" spans="1:1" x14ac:dyDescent="0.25">
      <c r="A50" t="s">
        <v>198</v>
      </c>
    </row>
    <row r="51" spans="1:1" x14ac:dyDescent="0.25">
      <c r="A51" t="s">
        <v>199</v>
      </c>
    </row>
    <row r="52" spans="1:1" x14ac:dyDescent="0.25">
      <c r="A52" t="s">
        <v>200</v>
      </c>
    </row>
    <row r="54" spans="1:1" x14ac:dyDescent="0.25">
      <c r="A54" t="s">
        <v>5</v>
      </c>
    </row>
    <row r="55" spans="1:1" x14ac:dyDescent="0.25">
      <c r="A55" t="s">
        <v>201</v>
      </c>
    </row>
    <row r="56" spans="1:1" x14ac:dyDescent="0.25">
      <c r="A56" t="s">
        <v>202</v>
      </c>
    </row>
    <row r="57" spans="1:1" x14ac:dyDescent="0.25">
      <c r="A57" t="s">
        <v>203</v>
      </c>
    </row>
    <row r="58" spans="1:1" x14ac:dyDescent="0.25">
      <c r="A58" t="s">
        <v>204</v>
      </c>
    </row>
    <row r="59" spans="1:1" x14ac:dyDescent="0.25">
      <c r="A59" t="s">
        <v>205</v>
      </c>
    </row>
    <row r="60" spans="1:1" x14ac:dyDescent="0.25">
      <c r="A60" t="s">
        <v>206</v>
      </c>
    </row>
    <row r="62" spans="1:1" x14ac:dyDescent="0.25">
      <c r="A62" t="s">
        <v>6</v>
      </c>
    </row>
    <row r="63" spans="1:1" x14ac:dyDescent="0.25">
      <c r="A63" t="s">
        <v>207</v>
      </c>
    </row>
    <row r="64" spans="1:1" x14ac:dyDescent="0.25">
      <c r="A64" t="s">
        <v>208</v>
      </c>
    </row>
    <row r="65" spans="1:1" x14ac:dyDescent="0.25">
      <c r="A65" t="s">
        <v>209</v>
      </c>
    </row>
    <row r="67" spans="1:1" x14ac:dyDescent="0.25">
      <c r="A67" t="s">
        <v>877</v>
      </c>
    </row>
    <row r="68" spans="1:1" x14ac:dyDescent="0.25">
      <c r="A68" t="s">
        <v>878</v>
      </c>
    </row>
    <row r="69" spans="1:1" x14ac:dyDescent="0.25">
      <c r="A69" t="s">
        <v>879</v>
      </c>
    </row>
    <row r="70" spans="1:1" x14ac:dyDescent="0.25">
      <c r="A70" t="s">
        <v>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5908-8433-46DF-B151-11E741AB2AB8}">
  <dimension ref="A1:A584"/>
  <sheetViews>
    <sheetView workbookViewId="0">
      <selection activeCell="G24" sqref="G24"/>
    </sheetView>
  </sheetViews>
  <sheetFormatPr defaultRowHeight="15" x14ac:dyDescent="0.25"/>
  <sheetData>
    <row r="1" spans="1:1" x14ac:dyDescent="0.25">
      <c r="A1" t="s">
        <v>854</v>
      </c>
    </row>
    <row r="2" spans="1:1" x14ac:dyDescent="0.25">
      <c r="A2" t="s">
        <v>855</v>
      </c>
    </row>
    <row r="3" spans="1:1" x14ac:dyDescent="0.25">
      <c r="A3" t="s">
        <v>856</v>
      </c>
    </row>
    <row r="5" spans="1:1" x14ac:dyDescent="0.25">
      <c r="A5" t="s">
        <v>857</v>
      </c>
    </row>
    <row r="6" spans="1:1" x14ac:dyDescent="0.25">
      <c r="A6" t="s">
        <v>858</v>
      </c>
    </row>
    <row r="7" spans="1:1" x14ac:dyDescent="0.25">
      <c r="A7" t="s">
        <v>859</v>
      </c>
    </row>
    <row r="8" spans="1:1" x14ac:dyDescent="0.25">
      <c r="A8" t="s">
        <v>860</v>
      </c>
    </row>
    <row r="10" spans="1:1" x14ac:dyDescent="0.25">
      <c r="A10" t="s">
        <v>0</v>
      </c>
    </row>
    <row r="11" spans="1:1" x14ac:dyDescent="0.25">
      <c r="A11" t="s">
        <v>1</v>
      </c>
    </row>
    <row r="12" spans="1:1" x14ac:dyDescent="0.25">
      <c r="A12" t="s">
        <v>0</v>
      </c>
    </row>
    <row r="13" spans="1:1" x14ac:dyDescent="0.25">
      <c r="A13" t="s">
        <v>861</v>
      </c>
    </row>
    <row r="14" spans="1:1" x14ac:dyDescent="0.25">
      <c r="A14" t="s">
        <v>862</v>
      </c>
    </row>
    <row r="15" spans="1:1" x14ac:dyDescent="0.25">
      <c r="A15" t="s">
        <v>863</v>
      </c>
    </row>
    <row r="16" spans="1:1" x14ac:dyDescent="0.25">
      <c r="A16" t="s">
        <v>864</v>
      </c>
    </row>
    <row r="18" spans="1:1" x14ac:dyDescent="0.25">
      <c r="A18" t="s">
        <v>865</v>
      </c>
    </row>
    <row r="19" spans="1:1" x14ac:dyDescent="0.25">
      <c r="A19" t="s">
        <v>866</v>
      </c>
    </row>
    <row r="20" spans="1:1" x14ac:dyDescent="0.25">
      <c r="A20" t="s">
        <v>867</v>
      </c>
    </row>
    <row r="22" spans="1:1" x14ac:dyDescent="0.25">
      <c r="A22" t="s">
        <v>868</v>
      </c>
    </row>
    <row r="23" spans="1:1" x14ac:dyDescent="0.25">
      <c r="A23" t="s">
        <v>869</v>
      </c>
    </row>
    <row r="25" spans="1:1" x14ac:dyDescent="0.25">
      <c r="A25" t="s">
        <v>870</v>
      </c>
    </row>
    <row r="26" spans="1:1" x14ac:dyDescent="0.25">
      <c r="A26" t="s">
        <v>871</v>
      </c>
    </row>
    <row r="27" spans="1:1" x14ac:dyDescent="0.25">
      <c r="A27" t="s">
        <v>872</v>
      </c>
    </row>
    <row r="28" spans="1:1" x14ac:dyDescent="0.25">
      <c r="A28" t="s">
        <v>873</v>
      </c>
    </row>
    <row r="29" spans="1:1" x14ac:dyDescent="0.25">
      <c r="A29" t="s">
        <v>874</v>
      </c>
    </row>
    <row r="31" spans="1:1" x14ac:dyDescent="0.25">
      <c r="A31" t="s">
        <v>875</v>
      </c>
    </row>
    <row r="32" spans="1:1" x14ac:dyDescent="0.25">
      <c r="A32" t="s">
        <v>876</v>
      </c>
    </row>
    <row r="34" spans="1:1" x14ac:dyDescent="0.25">
      <c r="A34" t="s">
        <v>0</v>
      </c>
    </row>
    <row r="35" spans="1:1" x14ac:dyDescent="0.25">
      <c r="A35" t="s">
        <v>2</v>
      </c>
    </row>
    <row r="36" spans="1:1" x14ac:dyDescent="0.25">
      <c r="A36" t="s">
        <v>0</v>
      </c>
    </row>
    <row r="37" spans="1:1" x14ac:dyDescent="0.25">
      <c r="A37" t="s">
        <v>189</v>
      </c>
    </row>
    <row r="38" spans="1:1" x14ac:dyDescent="0.25">
      <c r="A38" t="s">
        <v>190</v>
      </c>
    </row>
    <row r="40" spans="1:1" x14ac:dyDescent="0.25">
      <c r="A40" t="s">
        <v>3</v>
      </c>
    </row>
    <row r="41" spans="1:1" x14ac:dyDescent="0.25">
      <c r="A41" t="s">
        <v>191</v>
      </c>
    </row>
    <row r="42" spans="1:1" x14ac:dyDescent="0.25">
      <c r="A42" t="s">
        <v>192</v>
      </c>
    </row>
    <row r="43" spans="1:1" x14ac:dyDescent="0.25">
      <c r="A43" t="s">
        <v>193</v>
      </c>
    </row>
    <row r="44" spans="1:1" x14ac:dyDescent="0.25">
      <c r="A44" t="s">
        <v>194</v>
      </c>
    </row>
    <row r="45" spans="1:1" x14ac:dyDescent="0.25">
      <c r="A45" t="s">
        <v>195</v>
      </c>
    </row>
    <row r="46" spans="1:1" x14ac:dyDescent="0.25">
      <c r="A46" t="s">
        <v>196</v>
      </c>
    </row>
    <row r="47" spans="1:1" x14ac:dyDescent="0.25">
      <c r="A47" t="s">
        <v>197</v>
      </c>
    </row>
    <row r="49" spans="1:1" x14ac:dyDescent="0.25">
      <c r="A49" t="s">
        <v>4</v>
      </c>
    </row>
    <row r="50" spans="1:1" x14ac:dyDescent="0.25">
      <c r="A50" t="s">
        <v>198</v>
      </c>
    </row>
    <row r="51" spans="1:1" x14ac:dyDescent="0.25">
      <c r="A51" t="s">
        <v>199</v>
      </c>
    </row>
    <row r="52" spans="1:1" x14ac:dyDescent="0.25">
      <c r="A52" t="s">
        <v>200</v>
      </c>
    </row>
    <row r="54" spans="1:1" x14ac:dyDescent="0.25">
      <c r="A54" t="s">
        <v>5</v>
      </c>
    </row>
    <row r="55" spans="1:1" x14ac:dyDescent="0.25">
      <c r="A55" t="s">
        <v>201</v>
      </c>
    </row>
    <row r="56" spans="1:1" x14ac:dyDescent="0.25">
      <c r="A56" t="s">
        <v>202</v>
      </c>
    </row>
    <row r="57" spans="1:1" x14ac:dyDescent="0.25">
      <c r="A57" t="s">
        <v>203</v>
      </c>
    </row>
    <row r="58" spans="1:1" x14ac:dyDescent="0.25">
      <c r="A58" t="s">
        <v>204</v>
      </c>
    </row>
    <row r="59" spans="1:1" x14ac:dyDescent="0.25">
      <c r="A59" t="s">
        <v>205</v>
      </c>
    </row>
    <row r="60" spans="1:1" x14ac:dyDescent="0.25">
      <c r="A60" t="s">
        <v>206</v>
      </c>
    </row>
    <row r="62" spans="1:1" x14ac:dyDescent="0.25">
      <c r="A62" t="s">
        <v>6</v>
      </c>
    </row>
    <row r="63" spans="1:1" x14ac:dyDescent="0.25">
      <c r="A63" t="s">
        <v>207</v>
      </c>
    </row>
    <row r="64" spans="1:1" x14ac:dyDescent="0.25">
      <c r="A64" t="s">
        <v>208</v>
      </c>
    </row>
    <row r="65" spans="1:1" x14ac:dyDescent="0.25">
      <c r="A65" t="s">
        <v>209</v>
      </c>
    </row>
    <row r="67" spans="1:1" x14ac:dyDescent="0.25">
      <c r="A67" t="s">
        <v>877</v>
      </c>
    </row>
    <row r="68" spans="1:1" x14ac:dyDescent="0.25">
      <c r="A68" t="s">
        <v>878</v>
      </c>
    </row>
    <row r="69" spans="1:1" x14ac:dyDescent="0.25">
      <c r="A69" t="s">
        <v>879</v>
      </c>
    </row>
    <row r="70" spans="1:1" x14ac:dyDescent="0.25">
      <c r="A70" t="s">
        <v>880</v>
      </c>
    </row>
    <row r="72" spans="1:1" x14ac:dyDescent="0.25">
      <c r="A72" t="s">
        <v>0</v>
      </c>
    </row>
    <row r="73" spans="1:1" x14ac:dyDescent="0.25">
      <c r="A73" t="s">
        <v>7</v>
      </c>
    </row>
    <row r="74" spans="1:1" x14ac:dyDescent="0.25">
      <c r="A74" t="s">
        <v>0</v>
      </c>
    </row>
    <row r="75" spans="1:1" x14ac:dyDescent="0.25">
      <c r="A75" t="s">
        <v>881</v>
      </c>
    </row>
    <row r="76" spans="1:1" x14ac:dyDescent="0.25">
      <c r="A76" t="s">
        <v>882</v>
      </c>
    </row>
    <row r="77" spans="1:1" x14ac:dyDescent="0.25">
      <c r="A77" t="s">
        <v>883</v>
      </c>
    </row>
    <row r="78" spans="1:1" x14ac:dyDescent="0.25">
      <c r="A78" t="s">
        <v>884</v>
      </c>
    </row>
    <row r="80" spans="1:1" x14ac:dyDescent="0.25">
      <c r="A80" t="s">
        <v>885</v>
      </c>
    </row>
    <row r="81" spans="1:1" x14ac:dyDescent="0.25">
      <c r="A81" t="s">
        <v>886</v>
      </c>
    </row>
    <row r="82" spans="1:1" x14ac:dyDescent="0.25">
      <c r="A82" t="s">
        <v>887</v>
      </c>
    </row>
    <row r="83" spans="1:1" x14ac:dyDescent="0.25">
      <c r="A83" t="s">
        <v>888</v>
      </c>
    </row>
    <row r="84" spans="1:1" x14ac:dyDescent="0.25">
      <c r="A84" t="s">
        <v>889</v>
      </c>
    </row>
    <row r="85" spans="1:1" x14ac:dyDescent="0.25">
      <c r="A85" t="s">
        <v>890</v>
      </c>
    </row>
    <row r="86" spans="1:1" x14ac:dyDescent="0.25">
      <c r="A86" t="s">
        <v>891</v>
      </c>
    </row>
    <row r="87" spans="1:1" x14ac:dyDescent="0.25">
      <c r="A87" t="s">
        <v>892</v>
      </c>
    </row>
    <row r="89" spans="1:1" x14ac:dyDescent="0.25">
      <c r="A89" t="s">
        <v>893</v>
      </c>
    </row>
    <row r="90" spans="1:1" x14ac:dyDescent="0.25">
      <c r="A90" t="s">
        <v>894</v>
      </c>
    </row>
    <row r="91" spans="1:1" x14ac:dyDescent="0.25">
      <c r="A91" t="s">
        <v>895</v>
      </c>
    </row>
    <row r="93" spans="1:1" x14ac:dyDescent="0.25">
      <c r="A93" t="s">
        <v>896</v>
      </c>
    </row>
    <row r="95" spans="1:1" x14ac:dyDescent="0.25">
      <c r="A95" t="s">
        <v>897</v>
      </c>
    </row>
    <row r="96" spans="1:1" x14ac:dyDescent="0.25">
      <c r="A96" t="s">
        <v>898</v>
      </c>
    </row>
    <row r="97" spans="1:1" x14ac:dyDescent="0.25">
      <c r="A97" t="s">
        <v>899</v>
      </c>
    </row>
    <row r="98" spans="1:1" x14ac:dyDescent="0.25">
      <c r="A98" t="s">
        <v>900</v>
      </c>
    </row>
    <row r="99" spans="1:1" x14ac:dyDescent="0.25">
      <c r="A99" t="s">
        <v>901</v>
      </c>
    </row>
    <row r="100" spans="1:1" x14ac:dyDescent="0.25">
      <c r="A100" t="s">
        <v>902</v>
      </c>
    </row>
    <row r="101" spans="1:1" x14ac:dyDescent="0.25">
      <c r="A101" t="s">
        <v>903</v>
      </c>
    </row>
    <row r="103" spans="1:1" x14ac:dyDescent="0.25">
      <c r="A103" t="s">
        <v>904</v>
      </c>
    </row>
    <row r="104" spans="1:1" x14ac:dyDescent="0.25">
      <c r="A104" t="s">
        <v>905</v>
      </c>
    </row>
    <row r="105" spans="1:1" x14ac:dyDescent="0.25">
      <c r="A105" t="s">
        <v>906</v>
      </c>
    </row>
    <row r="106" spans="1:1" x14ac:dyDescent="0.25">
      <c r="A106" t="s">
        <v>907</v>
      </c>
    </row>
    <row r="108" spans="1:1" x14ac:dyDescent="0.25">
      <c r="A108" t="s">
        <v>0</v>
      </c>
    </row>
    <row r="109" spans="1:1" x14ac:dyDescent="0.25">
      <c r="A109" t="s">
        <v>8</v>
      </c>
    </row>
    <row r="110" spans="1:1" x14ac:dyDescent="0.25">
      <c r="A110" t="s">
        <v>0</v>
      </c>
    </row>
    <row r="111" spans="1:1" x14ac:dyDescent="0.25">
      <c r="A111" t="s">
        <v>9</v>
      </c>
    </row>
    <row r="112" spans="1:1" x14ac:dyDescent="0.25">
      <c r="A112" t="s">
        <v>908</v>
      </c>
    </row>
    <row r="113" spans="1:1" x14ac:dyDescent="0.25">
      <c r="A113" t="s">
        <v>909</v>
      </c>
    </row>
    <row r="114" spans="1:1" x14ac:dyDescent="0.25">
      <c r="A114" t="s">
        <v>910</v>
      </c>
    </row>
    <row r="115" spans="1:1" x14ac:dyDescent="0.25">
      <c r="A115" t="s">
        <v>911</v>
      </c>
    </row>
    <row r="116" spans="1:1" x14ac:dyDescent="0.25">
      <c r="A116" t="s">
        <v>912</v>
      </c>
    </row>
    <row r="117" spans="1:1" x14ac:dyDescent="0.25">
      <c r="A117" t="s">
        <v>913</v>
      </c>
    </row>
    <row r="119" spans="1:1" x14ac:dyDescent="0.25">
      <c r="A119" t="s">
        <v>10</v>
      </c>
    </row>
    <row r="120" spans="1:1" x14ac:dyDescent="0.25">
      <c r="A120" t="s">
        <v>914</v>
      </c>
    </row>
    <row r="121" spans="1:1" x14ac:dyDescent="0.25">
      <c r="A121" t="s">
        <v>915</v>
      </c>
    </row>
    <row r="122" spans="1:1" x14ac:dyDescent="0.25">
      <c r="A122" t="s">
        <v>916</v>
      </c>
    </row>
    <row r="123" spans="1:1" x14ac:dyDescent="0.25">
      <c r="A123" t="s">
        <v>917</v>
      </c>
    </row>
    <row r="125" spans="1:1" x14ac:dyDescent="0.25">
      <c r="A125" t="s">
        <v>11</v>
      </c>
    </row>
    <row r="126" spans="1:1" x14ac:dyDescent="0.25">
      <c r="A126" t="s">
        <v>918</v>
      </c>
    </row>
    <row r="127" spans="1:1" x14ac:dyDescent="0.25">
      <c r="A127" t="s">
        <v>919</v>
      </c>
    </row>
    <row r="128" spans="1:1" x14ac:dyDescent="0.25">
      <c r="A128" t="s">
        <v>920</v>
      </c>
    </row>
    <row r="129" spans="1:1" x14ac:dyDescent="0.25">
      <c r="A129" t="s">
        <v>921</v>
      </c>
    </row>
    <row r="131" spans="1:1" x14ac:dyDescent="0.25">
      <c r="A131" t="s">
        <v>12</v>
      </c>
    </row>
    <row r="132" spans="1:1" x14ac:dyDescent="0.25">
      <c r="A132" t="s">
        <v>922</v>
      </c>
    </row>
    <row r="133" spans="1:1" x14ac:dyDescent="0.25">
      <c r="A133" t="s">
        <v>923</v>
      </c>
    </row>
    <row r="134" spans="1:1" x14ac:dyDescent="0.25">
      <c r="A134" t="s">
        <v>924</v>
      </c>
    </row>
    <row r="136" spans="1:1" x14ac:dyDescent="0.25">
      <c r="A136" t="s">
        <v>925</v>
      </c>
    </row>
    <row r="137" spans="1:1" x14ac:dyDescent="0.25">
      <c r="A137" t="s">
        <v>926</v>
      </c>
    </row>
    <row r="138" spans="1:1" x14ac:dyDescent="0.25">
      <c r="A138" t="s">
        <v>927</v>
      </c>
    </row>
    <row r="139" spans="1:1" x14ac:dyDescent="0.25">
      <c r="A139" t="s">
        <v>928</v>
      </c>
    </row>
    <row r="140" spans="1:1" x14ac:dyDescent="0.25">
      <c r="A140" t="s">
        <v>929</v>
      </c>
    </row>
    <row r="141" spans="1:1" x14ac:dyDescent="0.25">
      <c r="A141" t="s">
        <v>930</v>
      </c>
    </row>
    <row r="142" spans="1:1" x14ac:dyDescent="0.25">
      <c r="A142" t="s">
        <v>931</v>
      </c>
    </row>
    <row r="143" spans="1:1" x14ac:dyDescent="0.25">
      <c r="A143" t="s">
        <v>932</v>
      </c>
    </row>
    <row r="145" spans="1:1" x14ac:dyDescent="0.25">
      <c r="A145" t="s">
        <v>933</v>
      </c>
    </row>
    <row r="146" spans="1:1" x14ac:dyDescent="0.25">
      <c r="A146" t="s">
        <v>934</v>
      </c>
    </row>
    <row r="148" spans="1:1" x14ac:dyDescent="0.25">
      <c r="A148" t="s">
        <v>935</v>
      </c>
    </row>
    <row r="149" spans="1:1" x14ac:dyDescent="0.25">
      <c r="A149" t="s">
        <v>936</v>
      </c>
    </row>
    <row r="150" spans="1:1" x14ac:dyDescent="0.25">
      <c r="A150" t="s">
        <v>937</v>
      </c>
    </row>
    <row r="152" spans="1:1" x14ac:dyDescent="0.25">
      <c r="A152" t="s">
        <v>938</v>
      </c>
    </row>
    <row r="153" spans="1:1" x14ac:dyDescent="0.25">
      <c r="A153" t="s">
        <v>939</v>
      </c>
    </row>
    <row r="154" spans="1:1" x14ac:dyDescent="0.25">
      <c r="A154" t="s">
        <v>940</v>
      </c>
    </row>
    <row r="156" spans="1:1" x14ac:dyDescent="0.25">
      <c r="A156" t="s">
        <v>0</v>
      </c>
    </row>
    <row r="157" spans="1:1" x14ac:dyDescent="0.25">
      <c r="A157" t="s">
        <v>13</v>
      </c>
    </row>
    <row r="158" spans="1:1" x14ac:dyDescent="0.25">
      <c r="A158" t="s">
        <v>0</v>
      </c>
    </row>
    <row r="159" spans="1:1" x14ac:dyDescent="0.25">
      <c r="A159" t="s">
        <v>941</v>
      </c>
    </row>
    <row r="160" spans="1:1" x14ac:dyDescent="0.25">
      <c r="A160" t="s">
        <v>942</v>
      </c>
    </row>
    <row r="161" spans="1:1" x14ac:dyDescent="0.25">
      <c r="A161" t="s">
        <v>943</v>
      </c>
    </row>
    <row r="162" spans="1:1" x14ac:dyDescent="0.25">
      <c r="A162" t="s">
        <v>944</v>
      </c>
    </row>
    <row r="163" spans="1:1" x14ac:dyDescent="0.25">
      <c r="A163" t="s">
        <v>945</v>
      </c>
    </row>
    <row r="164" spans="1:1" x14ac:dyDescent="0.25">
      <c r="A164" t="s">
        <v>946</v>
      </c>
    </row>
    <row r="165" spans="1:1" x14ac:dyDescent="0.25">
      <c r="A165" t="s">
        <v>947</v>
      </c>
    </row>
    <row r="166" spans="1:1" x14ac:dyDescent="0.25">
      <c r="A166" t="s">
        <v>948</v>
      </c>
    </row>
    <row r="167" spans="1:1" x14ac:dyDescent="0.25">
      <c r="A167" t="s">
        <v>949</v>
      </c>
    </row>
    <row r="168" spans="1:1" x14ac:dyDescent="0.25">
      <c r="A168" t="s">
        <v>950</v>
      </c>
    </row>
    <row r="169" spans="1:1" x14ac:dyDescent="0.25">
      <c r="A169" t="s">
        <v>951</v>
      </c>
    </row>
    <row r="170" spans="1:1" x14ac:dyDescent="0.25">
      <c r="A170" t="s">
        <v>952</v>
      </c>
    </row>
    <row r="171" spans="1:1" x14ac:dyDescent="0.25">
      <c r="A171" t="s">
        <v>953</v>
      </c>
    </row>
    <row r="172" spans="1:1" x14ac:dyDescent="0.25">
      <c r="A172" t="s">
        <v>954</v>
      </c>
    </row>
    <row r="173" spans="1:1" x14ac:dyDescent="0.25">
      <c r="A173" t="s">
        <v>955</v>
      </c>
    </row>
    <row r="174" spans="1:1" x14ac:dyDescent="0.25">
      <c r="A174" t="s">
        <v>953</v>
      </c>
    </row>
    <row r="175" spans="1:1" x14ac:dyDescent="0.25">
      <c r="A175" t="s">
        <v>956</v>
      </c>
    </row>
    <row r="176" spans="1:1" x14ac:dyDescent="0.25">
      <c r="A176" t="s">
        <v>957</v>
      </c>
    </row>
    <row r="177" spans="1:1" x14ac:dyDescent="0.25">
      <c r="A177" t="s">
        <v>953</v>
      </c>
    </row>
    <row r="178" spans="1:1" x14ac:dyDescent="0.25">
      <c r="A178" t="s">
        <v>958</v>
      </c>
    </row>
    <row r="179" spans="1:1" x14ac:dyDescent="0.25">
      <c r="A179" t="s">
        <v>959</v>
      </c>
    </row>
    <row r="180" spans="1:1" x14ac:dyDescent="0.25">
      <c r="A180" t="s">
        <v>953</v>
      </c>
    </row>
    <row r="181" spans="1:1" x14ac:dyDescent="0.25">
      <c r="A181" t="s">
        <v>960</v>
      </c>
    </row>
    <row r="183" spans="1:1" x14ac:dyDescent="0.25">
      <c r="A183" t="s">
        <v>941</v>
      </c>
    </row>
    <row r="184" spans="1:1" x14ac:dyDescent="0.25">
      <c r="A184" t="s">
        <v>961</v>
      </c>
    </row>
    <row r="185" spans="1:1" x14ac:dyDescent="0.25">
      <c r="A185" t="s">
        <v>962</v>
      </c>
    </row>
    <row r="186" spans="1:1" x14ac:dyDescent="0.25">
      <c r="A186" t="s">
        <v>963</v>
      </c>
    </row>
    <row r="187" spans="1:1" x14ac:dyDescent="0.25">
      <c r="A187" t="s">
        <v>964</v>
      </c>
    </row>
    <row r="188" spans="1:1" x14ac:dyDescent="0.25">
      <c r="A188" t="s">
        <v>965</v>
      </c>
    </row>
    <row r="189" spans="1:1" x14ac:dyDescent="0.25">
      <c r="A189" t="s">
        <v>966</v>
      </c>
    </row>
    <row r="191" spans="1:1" x14ac:dyDescent="0.25">
      <c r="A191" t="s">
        <v>941</v>
      </c>
    </row>
    <row r="192" spans="1:1" x14ac:dyDescent="0.25">
      <c r="A192" t="s">
        <v>967</v>
      </c>
    </row>
    <row r="193" spans="1:1" x14ac:dyDescent="0.25">
      <c r="A193" t="s">
        <v>962</v>
      </c>
    </row>
    <row r="194" spans="1:1" x14ac:dyDescent="0.25">
      <c r="A194" t="s">
        <v>968</v>
      </c>
    </row>
    <row r="195" spans="1:1" x14ac:dyDescent="0.25">
      <c r="A195" t="s">
        <v>969</v>
      </c>
    </row>
    <row r="196" spans="1:1" x14ac:dyDescent="0.25">
      <c r="A196" t="s">
        <v>970</v>
      </c>
    </row>
    <row r="197" spans="1:1" x14ac:dyDescent="0.25">
      <c r="A197" t="s">
        <v>971</v>
      </c>
    </row>
    <row r="198" spans="1:1" x14ac:dyDescent="0.25">
      <c r="A198" t="s">
        <v>972</v>
      </c>
    </row>
    <row r="200" spans="1:1" x14ac:dyDescent="0.25">
      <c r="A200" t="s">
        <v>941</v>
      </c>
    </row>
    <row r="201" spans="1:1" x14ac:dyDescent="0.25">
      <c r="A201" t="s">
        <v>973</v>
      </c>
    </row>
    <row r="202" spans="1:1" x14ac:dyDescent="0.25">
      <c r="A202" t="s">
        <v>974</v>
      </c>
    </row>
    <row r="203" spans="1:1" x14ac:dyDescent="0.25">
      <c r="A203" t="s">
        <v>975</v>
      </c>
    </row>
    <row r="204" spans="1:1" x14ac:dyDescent="0.25">
      <c r="A204" t="s">
        <v>974</v>
      </c>
    </row>
    <row r="205" spans="1:1" x14ac:dyDescent="0.25">
      <c r="A205" t="s">
        <v>962</v>
      </c>
    </row>
    <row r="206" spans="1:1" x14ac:dyDescent="0.25">
      <c r="A206" t="s">
        <v>976</v>
      </c>
    </row>
    <row r="207" spans="1:1" x14ac:dyDescent="0.25">
      <c r="A207" t="s">
        <v>977</v>
      </c>
    </row>
    <row r="208" spans="1:1" x14ac:dyDescent="0.25">
      <c r="A208" t="s">
        <v>978</v>
      </c>
    </row>
    <row r="209" spans="1:1" x14ac:dyDescent="0.25">
      <c r="A209" t="s">
        <v>979</v>
      </c>
    </row>
    <row r="210" spans="1:1" x14ac:dyDescent="0.25">
      <c r="A210" t="s">
        <v>980</v>
      </c>
    </row>
    <row r="211" spans="1:1" x14ac:dyDescent="0.25">
      <c r="A211" t="s">
        <v>981</v>
      </c>
    </row>
    <row r="212" spans="1:1" x14ac:dyDescent="0.25">
      <c r="A212" t="s">
        <v>982</v>
      </c>
    </row>
    <row r="213" spans="1:1" x14ac:dyDescent="0.25">
      <c r="A213" t="s">
        <v>983</v>
      </c>
    </row>
    <row r="214" spans="1:1" x14ac:dyDescent="0.25">
      <c r="A214" t="s">
        <v>984</v>
      </c>
    </row>
    <row r="215" spans="1:1" x14ac:dyDescent="0.25">
      <c r="A215" t="s">
        <v>985</v>
      </c>
    </row>
    <row r="216" spans="1:1" x14ac:dyDescent="0.25">
      <c r="A216" t="s">
        <v>986</v>
      </c>
    </row>
    <row r="217" spans="1:1" x14ac:dyDescent="0.25">
      <c r="A217" t="s">
        <v>987</v>
      </c>
    </row>
    <row r="218" spans="1:1" x14ac:dyDescent="0.25">
      <c r="A218" t="s">
        <v>988</v>
      </c>
    </row>
    <row r="219" spans="1:1" x14ac:dyDescent="0.25">
      <c r="A219" t="s">
        <v>989</v>
      </c>
    </row>
    <row r="220" spans="1:1" x14ac:dyDescent="0.25">
      <c r="A220" t="s">
        <v>990</v>
      </c>
    </row>
    <row r="221" spans="1:1" x14ac:dyDescent="0.25">
      <c r="A221" t="s">
        <v>991</v>
      </c>
    </row>
    <row r="222" spans="1:1" x14ac:dyDescent="0.25">
      <c r="A222" t="s">
        <v>992</v>
      </c>
    </row>
    <row r="223" spans="1:1" x14ac:dyDescent="0.25">
      <c r="A223" t="s">
        <v>993</v>
      </c>
    </row>
    <row r="224" spans="1:1" x14ac:dyDescent="0.25">
      <c r="A224" t="s">
        <v>994</v>
      </c>
    </row>
    <row r="225" spans="1:1" x14ac:dyDescent="0.25">
      <c r="A225" t="s">
        <v>995</v>
      </c>
    </row>
    <row r="226" spans="1:1" x14ac:dyDescent="0.25">
      <c r="A226" t="s">
        <v>996</v>
      </c>
    </row>
    <row r="227" spans="1:1" x14ac:dyDescent="0.25">
      <c r="A227" t="s">
        <v>997</v>
      </c>
    </row>
    <row r="228" spans="1:1" x14ac:dyDescent="0.25">
      <c r="A228" t="s">
        <v>998</v>
      </c>
    </row>
    <row r="229" spans="1:1" x14ac:dyDescent="0.25">
      <c r="A229" t="s">
        <v>999</v>
      </c>
    </row>
    <row r="231" spans="1:1" x14ac:dyDescent="0.25">
      <c r="A231" t="s">
        <v>1000</v>
      </c>
    </row>
    <row r="232" spans="1:1" x14ac:dyDescent="0.25">
      <c r="A232" t="s">
        <v>1001</v>
      </c>
    </row>
    <row r="233" spans="1:1" x14ac:dyDescent="0.25">
      <c r="A233" t="s">
        <v>1002</v>
      </c>
    </row>
    <row r="235" spans="1:1" x14ac:dyDescent="0.25">
      <c r="A235" t="s">
        <v>941</v>
      </c>
    </row>
    <row r="236" spans="1:1" x14ac:dyDescent="0.25">
      <c r="A236" t="s">
        <v>1003</v>
      </c>
    </row>
    <row r="237" spans="1:1" x14ac:dyDescent="0.25">
      <c r="A237" t="s">
        <v>944</v>
      </c>
    </row>
    <row r="238" spans="1:1" x14ac:dyDescent="0.25">
      <c r="A238" t="s">
        <v>945</v>
      </c>
    </row>
    <row r="239" spans="1:1" x14ac:dyDescent="0.25">
      <c r="A239" t="s">
        <v>1004</v>
      </c>
    </row>
    <row r="240" spans="1:1" x14ac:dyDescent="0.25">
      <c r="A240" t="s">
        <v>947</v>
      </c>
    </row>
    <row r="241" spans="1:1" x14ac:dyDescent="0.25">
      <c r="A241" t="s">
        <v>948</v>
      </c>
    </row>
    <row r="242" spans="1:1" x14ac:dyDescent="0.25">
      <c r="A242" t="s">
        <v>949</v>
      </c>
    </row>
    <row r="243" spans="1:1" x14ac:dyDescent="0.25">
      <c r="A243" t="s">
        <v>950</v>
      </c>
    </row>
    <row r="244" spans="1:1" x14ac:dyDescent="0.25">
      <c r="A244" t="s">
        <v>951</v>
      </c>
    </row>
    <row r="245" spans="1:1" x14ac:dyDescent="0.25">
      <c r="A245" t="s">
        <v>1005</v>
      </c>
    </row>
    <row r="246" spans="1:1" x14ac:dyDescent="0.25">
      <c r="A246" t="s">
        <v>954</v>
      </c>
    </row>
    <row r="247" spans="1:1" x14ac:dyDescent="0.25">
      <c r="A247" t="s">
        <v>1006</v>
      </c>
    </row>
    <row r="249" spans="1:1" x14ac:dyDescent="0.25">
      <c r="A249" t="s">
        <v>941</v>
      </c>
    </row>
    <row r="250" spans="1:1" x14ac:dyDescent="0.25">
      <c r="A250" t="s">
        <v>1007</v>
      </c>
    </row>
    <row r="251" spans="1:1" x14ac:dyDescent="0.25">
      <c r="A251" t="s">
        <v>1008</v>
      </c>
    </row>
    <row r="253" spans="1:1" x14ac:dyDescent="0.25">
      <c r="A253" t="s">
        <v>0</v>
      </c>
    </row>
    <row r="254" spans="1:1" x14ac:dyDescent="0.25">
      <c r="A254" t="s">
        <v>14</v>
      </c>
    </row>
    <row r="255" spans="1:1" x14ac:dyDescent="0.25">
      <c r="A255" t="s">
        <v>0</v>
      </c>
    </row>
    <row r="256" spans="1:1" x14ac:dyDescent="0.25">
      <c r="A256" t="s">
        <v>1009</v>
      </c>
    </row>
    <row r="257" spans="1:1" x14ac:dyDescent="0.25">
      <c r="A257" t="s">
        <v>1010</v>
      </c>
    </row>
    <row r="258" spans="1:1" x14ac:dyDescent="0.25">
      <c r="A258" t="s">
        <v>1011</v>
      </c>
    </row>
    <row r="259" spans="1:1" x14ac:dyDescent="0.25">
      <c r="A259" t="s">
        <v>1012</v>
      </c>
    </row>
    <row r="260" spans="1:1" x14ac:dyDescent="0.25">
      <c r="A260" t="s">
        <v>953</v>
      </c>
    </row>
    <row r="261" spans="1:1" x14ac:dyDescent="0.25">
      <c r="A261" t="s">
        <v>1013</v>
      </c>
    </row>
    <row r="262" spans="1:1" x14ac:dyDescent="0.25">
      <c r="A262" t="s">
        <v>1014</v>
      </c>
    </row>
    <row r="263" spans="1:1" x14ac:dyDescent="0.25">
      <c r="A263" t="s">
        <v>953</v>
      </c>
    </row>
    <row r="264" spans="1:1" x14ac:dyDescent="0.25">
      <c r="A264" t="s">
        <v>1015</v>
      </c>
    </row>
    <row r="265" spans="1:1" x14ac:dyDescent="0.25">
      <c r="A265" t="s">
        <v>1016</v>
      </c>
    </row>
    <row r="266" spans="1:1" x14ac:dyDescent="0.25">
      <c r="A266" t="s">
        <v>953</v>
      </c>
    </row>
    <row r="267" spans="1:1" x14ac:dyDescent="0.25">
      <c r="A267" t="s">
        <v>1017</v>
      </c>
    </row>
    <row r="268" spans="1:1" x14ac:dyDescent="0.25">
      <c r="A268" t="s">
        <v>1018</v>
      </c>
    </row>
    <row r="269" spans="1:1" x14ac:dyDescent="0.25">
      <c r="A269" t="s">
        <v>953</v>
      </c>
    </row>
    <row r="270" spans="1:1" x14ac:dyDescent="0.25">
      <c r="A270" t="s">
        <v>1019</v>
      </c>
    </row>
    <row r="272" spans="1:1" x14ac:dyDescent="0.25">
      <c r="A272" t="s">
        <v>1020</v>
      </c>
    </row>
    <row r="273" spans="1:1" x14ac:dyDescent="0.25">
      <c r="A273" t="s">
        <v>1021</v>
      </c>
    </row>
    <row r="274" spans="1:1" x14ac:dyDescent="0.25">
      <c r="A274" t="s">
        <v>1022</v>
      </c>
    </row>
    <row r="275" spans="1:1" x14ac:dyDescent="0.25">
      <c r="A275" t="s">
        <v>1023</v>
      </c>
    </row>
    <row r="276" spans="1:1" x14ac:dyDescent="0.25">
      <c r="A276" t="s">
        <v>1024</v>
      </c>
    </row>
    <row r="277" spans="1:1" x14ac:dyDescent="0.25">
      <c r="A277" t="s">
        <v>953</v>
      </c>
    </row>
    <row r="278" spans="1:1" x14ac:dyDescent="0.25">
      <c r="A278" t="s">
        <v>1025</v>
      </c>
    </row>
    <row r="279" spans="1:1" x14ac:dyDescent="0.25">
      <c r="A279" t="s">
        <v>1026</v>
      </c>
    </row>
    <row r="280" spans="1:1" x14ac:dyDescent="0.25">
      <c r="A280" t="s">
        <v>1027</v>
      </c>
    </row>
    <row r="281" spans="1:1" x14ac:dyDescent="0.25">
      <c r="A281" t="s">
        <v>953</v>
      </c>
    </row>
    <row r="282" spans="1:1" x14ac:dyDescent="0.25">
      <c r="A282" t="s">
        <v>1028</v>
      </c>
    </row>
    <row r="283" spans="1:1" x14ac:dyDescent="0.25">
      <c r="A283" t="s">
        <v>1029</v>
      </c>
    </row>
    <row r="284" spans="1:1" x14ac:dyDescent="0.25">
      <c r="A284" t="s">
        <v>1030</v>
      </c>
    </row>
    <row r="286" spans="1:1" x14ac:dyDescent="0.25">
      <c r="A286" t="s">
        <v>1031</v>
      </c>
    </row>
    <row r="287" spans="1:1" x14ac:dyDescent="0.25">
      <c r="A287" t="s">
        <v>1032</v>
      </c>
    </row>
    <row r="288" spans="1:1" x14ac:dyDescent="0.25">
      <c r="A288" t="s">
        <v>1033</v>
      </c>
    </row>
    <row r="289" spans="1:1" x14ac:dyDescent="0.25">
      <c r="A289" t="s">
        <v>1034</v>
      </c>
    </row>
    <row r="291" spans="1:1" x14ac:dyDescent="0.25">
      <c r="A291" t="s">
        <v>1035</v>
      </c>
    </row>
    <row r="292" spans="1:1" x14ac:dyDescent="0.25">
      <c r="A292" t="s">
        <v>1036</v>
      </c>
    </row>
    <row r="293" spans="1:1" x14ac:dyDescent="0.25">
      <c r="A293" t="s">
        <v>1037</v>
      </c>
    </row>
    <row r="295" spans="1:1" x14ac:dyDescent="0.25">
      <c r="A295" t="s">
        <v>1038</v>
      </c>
    </row>
    <row r="296" spans="1:1" x14ac:dyDescent="0.25">
      <c r="A296" t="s">
        <v>1039</v>
      </c>
    </row>
    <row r="297" spans="1:1" x14ac:dyDescent="0.25">
      <c r="A297" t="s">
        <v>1040</v>
      </c>
    </row>
    <row r="299" spans="1:1" x14ac:dyDescent="0.25">
      <c r="A299" t="s">
        <v>1041</v>
      </c>
    </row>
    <row r="300" spans="1:1" x14ac:dyDescent="0.25">
      <c r="A300" t="s">
        <v>1042</v>
      </c>
    </row>
    <row r="302" spans="1:1" x14ac:dyDescent="0.25">
      <c r="A302" t="s">
        <v>1043</v>
      </c>
    </row>
    <row r="303" spans="1:1" x14ac:dyDescent="0.25">
      <c r="A303" t="s">
        <v>1044</v>
      </c>
    </row>
    <row r="304" spans="1:1" x14ac:dyDescent="0.25">
      <c r="A304" t="s">
        <v>1045</v>
      </c>
    </row>
    <row r="305" spans="1:1" x14ac:dyDescent="0.25">
      <c r="A305" t="s">
        <v>1046</v>
      </c>
    </row>
    <row r="306" spans="1:1" x14ac:dyDescent="0.25">
      <c r="A306" t="s">
        <v>1047</v>
      </c>
    </row>
    <row r="307" spans="1:1" x14ac:dyDescent="0.25">
      <c r="A307" t="s">
        <v>1048</v>
      </c>
    </row>
    <row r="308" spans="1:1" x14ac:dyDescent="0.25">
      <c r="A308" t="s">
        <v>1049</v>
      </c>
    </row>
    <row r="309" spans="1:1" x14ac:dyDescent="0.25">
      <c r="A309" t="s">
        <v>1050</v>
      </c>
    </row>
    <row r="310" spans="1:1" x14ac:dyDescent="0.25">
      <c r="A310" t="s">
        <v>1051</v>
      </c>
    </row>
    <row r="311" spans="1:1" x14ac:dyDescent="0.25">
      <c r="A311" t="s">
        <v>1052</v>
      </c>
    </row>
    <row r="312" spans="1:1" x14ac:dyDescent="0.25">
      <c r="A312" t="s">
        <v>1053</v>
      </c>
    </row>
    <row r="313" spans="1:1" x14ac:dyDescent="0.25">
      <c r="A313" t="s">
        <v>994</v>
      </c>
    </row>
    <row r="314" spans="1:1" x14ac:dyDescent="0.25">
      <c r="A314" t="s">
        <v>1054</v>
      </c>
    </row>
    <row r="315" spans="1:1" x14ac:dyDescent="0.25">
      <c r="A315" t="s">
        <v>1055</v>
      </c>
    </row>
    <row r="316" spans="1:1" x14ac:dyDescent="0.25">
      <c r="A316" t="s">
        <v>1056</v>
      </c>
    </row>
    <row r="317" spans="1:1" x14ac:dyDescent="0.25">
      <c r="A317" t="s">
        <v>1057</v>
      </c>
    </row>
    <row r="318" spans="1:1" x14ac:dyDescent="0.25">
      <c r="A318" t="s">
        <v>1058</v>
      </c>
    </row>
    <row r="319" spans="1:1" x14ac:dyDescent="0.25">
      <c r="A319" t="s">
        <v>1059</v>
      </c>
    </row>
    <row r="320" spans="1:1" x14ac:dyDescent="0.25">
      <c r="A320" t="s">
        <v>1060</v>
      </c>
    </row>
    <row r="321" spans="1:1" x14ac:dyDescent="0.25">
      <c r="A321" t="s">
        <v>1061</v>
      </c>
    </row>
    <row r="322" spans="1:1" x14ac:dyDescent="0.25">
      <c r="A322" t="s">
        <v>1062</v>
      </c>
    </row>
    <row r="323" spans="1:1" x14ac:dyDescent="0.25">
      <c r="A323" t="s">
        <v>1063</v>
      </c>
    </row>
    <row r="324" spans="1:1" x14ac:dyDescent="0.25">
      <c r="A324" t="s">
        <v>990</v>
      </c>
    </row>
    <row r="325" spans="1:1" x14ac:dyDescent="0.25">
      <c r="A325" t="s">
        <v>1064</v>
      </c>
    </row>
    <row r="326" spans="1:1" x14ac:dyDescent="0.25">
      <c r="A326" t="s">
        <v>1065</v>
      </c>
    </row>
    <row r="327" spans="1:1" x14ac:dyDescent="0.25">
      <c r="A327" t="s">
        <v>1066</v>
      </c>
    </row>
    <row r="329" spans="1:1" x14ac:dyDescent="0.25">
      <c r="A329" t="s">
        <v>1067</v>
      </c>
    </row>
    <row r="330" spans="1:1" x14ac:dyDescent="0.25">
      <c r="A330" t="s">
        <v>1068</v>
      </c>
    </row>
    <row r="331" spans="1:1" x14ac:dyDescent="0.25">
      <c r="A331" t="s">
        <v>1069</v>
      </c>
    </row>
    <row r="332" spans="1:1" x14ac:dyDescent="0.25">
      <c r="A332" t="s">
        <v>1070</v>
      </c>
    </row>
    <row r="333" spans="1:1" x14ac:dyDescent="0.25">
      <c r="A333" t="s">
        <v>1071</v>
      </c>
    </row>
    <row r="334" spans="1:1" x14ac:dyDescent="0.25">
      <c r="A334" t="s">
        <v>1048</v>
      </c>
    </row>
    <row r="335" spans="1:1" x14ac:dyDescent="0.25">
      <c r="A335" t="s">
        <v>1072</v>
      </c>
    </row>
    <row r="336" spans="1:1" x14ac:dyDescent="0.25">
      <c r="A336" t="s">
        <v>1073</v>
      </c>
    </row>
    <row r="337" spans="1:1" x14ac:dyDescent="0.25">
      <c r="A337" t="s">
        <v>994</v>
      </c>
    </row>
    <row r="338" spans="1:1" x14ac:dyDescent="0.25">
      <c r="A338" t="s">
        <v>1074</v>
      </c>
    </row>
    <row r="339" spans="1:1" x14ac:dyDescent="0.25">
      <c r="A339" t="s">
        <v>1075</v>
      </c>
    </row>
    <row r="340" spans="1:1" x14ac:dyDescent="0.25">
      <c r="A340" t="s">
        <v>1076</v>
      </c>
    </row>
    <row r="341" spans="1:1" x14ac:dyDescent="0.25">
      <c r="A341" t="s">
        <v>1077</v>
      </c>
    </row>
    <row r="342" spans="1:1" x14ac:dyDescent="0.25">
      <c r="A342" t="s">
        <v>1078</v>
      </c>
    </row>
    <row r="343" spans="1:1" x14ac:dyDescent="0.25">
      <c r="A343" t="s">
        <v>1079</v>
      </c>
    </row>
    <row r="345" spans="1:1" x14ac:dyDescent="0.25">
      <c r="A345" t="s">
        <v>1080</v>
      </c>
    </row>
    <row r="346" spans="1:1" x14ac:dyDescent="0.25">
      <c r="A346" t="s">
        <v>1081</v>
      </c>
    </row>
    <row r="347" spans="1:1" x14ac:dyDescent="0.25">
      <c r="A347" t="s">
        <v>1082</v>
      </c>
    </row>
    <row r="348" spans="1:1" x14ac:dyDescent="0.25">
      <c r="A348" t="s">
        <v>1083</v>
      </c>
    </row>
    <row r="349" spans="1:1" x14ac:dyDescent="0.25">
      <c r="A349" t="s">
        <v>1084</v>
      </c>
    </row>
    <row r="350" spans="1:1" x14ac:dyDescent="0.25">
      <c r="A350" t="s">
        <v>1085</v>
      </c>
    </row>
    <row r="351" spans="1:1" x14ac:dyDescent="0.25">
      <c r="A351" t="s">
        <v>1086</v>
      </c>
    </row>
    <row r="352" spans="1:1" x14ac:dyDescent="0.25">
      <c r="A352" t="s">
        <v>1087</v>
      </c>
    </row>
    <row r="353" spans="1:1" x14ac:dyDescent="0.25">
      <c r="A353" t="s">
        <v>1088</v>
      </c>
    </row>
    <row r="354" spans="1:1" x14ac:dyDescent="0.25">
      <c r="A354" t="s">
        <v>1089</v>
      </c>
    </row>
    <row r="356" spans="1:1" x14ac:dyDescent="0.25">
      <c r="A356" t="s">
        <v>1090</v>
      </c>
    </row>
    <row r="358" spans="1:1" x14ac:dyDescent="0.25">
      <c r="A358" t="s">
        <v>1091</v>
      </c>
    </row>
    <row r="359" spans="1:1" x14ac:dyDescent="0.25">
      <c r="A359" t="s">
        <v>1092</v>
      </c>
    </row>
    <row r="360" spans="1:1" x14ac:dyDescent="0.25">
      <c r="A360" t="s">
        <v>1093</v>
      </c>
    </row>
    <row r="362" spans="1:1" x14ac:dyDescent="0.25">
      <c r="A362" t="s">
        <v>1094</v>
      </c>
    </row>
    <row r="363" spans="1:1" x14ac:dyDescent="0.25">
      <c r="A363" t="s">
        <v>1095</v>
      </c>
    </row>
    <row r="364" spans="1:1" x14ac:dyDescent="0.25">
      <c r="A364" t="s">
        <v>1096</v>
      </c>
    </row>
    <row r="366" spans="1:1" x14ac:dyDescent="0.25">
      <c r="A366" t="s">
        <v>0</v>
      </c>
    </row>
    <row r="367" spans="1:1" x14ac:dyDescent="0.25">
      <c r="A367" t="s">
        <v>15</v>
      </c>
    </row>
    <row r="368" spans="1:1" x14ac:dyDescent="0.25">
      <c r="A368" t="s">
        <v>0</v>
      </c>
    </row>
    <row r="369" spans="1:1" x14ac:dyDescent="0.25">
      <c r="A369" t="s">
        <v>1097</v>
      </c>
    </row>
    <row r="370" spans="1:1" x14ac:dyDescent="0.25">
      <c r="A370" t="s">
        <v>1098</v>
      </c>
    </row>
    <row r="371" spans="1:1" x14ac:dyDescent="0.25">
      <c r="A371" t="s">
        <v>1099</v>
      </c>
    </row>
    <row r="372" spans="1:1" x14ac:dyDescent="0.25">
      <c r="A372" t="s">
        <v>1100</v>
      </c>
    </row>
    <row r="374" spans="1:1" x14ac:dyDescent="0.25">
      <c r="A374" t="s">
        <v>1101</v>
      </c>
    </row>
    <row r="375" spans="1:1" x14ac:dyDescent="0.25">
      <c r="A375" t="s">
        <v>16</v>
      </c>
    </row>
    <row r="377" spans="1:1" x14ac:dyDescent="0.25">
      <c r="A377" t="s">
        <v>1102</v>
      </c>
    </row>
    <row r="378" spans="1:1" x14ac:dyDescent="0.25">
      <c r="A378" t="s">
        <v>1103</v>
      </c>
    </row>
    <row r="379" spans="1:1" x14ac:dyDescent="0.25">
      <c r="A379" t="s">
        <v>953</v>
      </c>
    </row>
    <row r="380" spans="1:1" x14ac:dyDescent="0.25">
      <c r="A380" t="s">
        <v>1104</v>
      </c>
    </row>
    <row r="381" spans="1:1" x14ac:dyDescent="0.25">
      <c r="A381" t="s">
        <v>1105</v>
      </c>
    </row>
    <row r="382" spans="1:1" x14ac:dyDescent="0.25">
      <c r="A382" t="s">
        <v>1106</v>
      </c>
    </row>
    <row r="383" spans="1:1" x14ac:dyDescent="0.25">
      <c r="A383" t="s">
        <v>1107</v>
      </c>
    </row>
    <row r="384" spans="1:1" x14ac:dyDescent="0.25">
      <c r="A384" t="s">
        <v>994</v>
      </c>
    </row>
    <row r="385" spans="1:1" x14ac:dyDescent="0.25">
      <c r="A385" t="s">
        <v>1108</v>
      </c>
    </row>
    <row r="386" spans="1:1" x14ac:dyDescent="0.25">
      <c r="A386" t="s">
        <v>1109</v>
      </c>
    </row>
    <row r="387" spans="1:1" x14ac:dyDescent="0.25">
      <c r="A387" t="s">
        <v>1110</v>
      </c>
    </row>
    <row r="388" spans="1:1" x14ac:dyDescent="0.25">
      <c r="A388" t="s">
        <v>994</v>
      </c>
    </row>
    <row r="389" spans="1:1" x14ac:dyDescent="0.25">
      <c r="A389" t="s">
        <v>1111</v>
      </c>
    </row>
    <row r="390" spans="1:1" x14ac:dyDescent="0.25">
      <c r="A390" t="s">
        <v>1112</v>
      </c>
    </row>
    <row r="391" spans="1:1" x14ac:dyDescent="0.25">
      <c r="A391" t="s">
        <v>1113</v>
      </c>
    </row>
    <row r="392" spans="1:1" x14ac:dyDescent="0.25">
      <c r="A392" t="s">
        <v>994</v>
      </c>
    </row>
    <row r="393" spans="1:1" x14ac:dyDescent="0.25">
      <c r="A393" t="s">
        <v>1114</v>
      </c>
    </row>
    <row r="394" spans="1:1" x14ac:dyDescent="0.25">
      <c r="A394" t="s">
        <v>1115</v>
      </c>
    </row>
    <row r="395" spans="1:1" x14ac:dyDescent="0.25">
      <c r="A395" t="s">
        <v>1116</v>
      </c>
    </row>
    <row r="396" spans="1:1" x14ac:dyDescent="0.25">
      <c r="A396" t="s">
        <v>1117</v>
      </c>
    </row>
    <row r="397" spans="1:1" x14ac:dyDescent="0.25">
      <c r="A397" t="s">
        <v>1118</v>
      </c>
    </row>
    <row r="398" spans="1:1" x14ac:dyDescent="0.25">
      <c r="A398" t="s">
        <v>1119</v>
      </c>
    </row>
    <row r="399" spans="1:1" x14ac:dyDescent="0.25">
      <c r="A399" t="s">
        <v>1120</v>
      </c>
    </row>
    <row r="400" spans="1:1" x14ac:dyDescent="0.25">
      <c r="A400" t="s">
        <v>1121</v>
      </c>
    </row>
    <row r="401" spans="1:1" x14ac:dyDescent="0.25">
      <c r="A401" t="s">
        <v>1122</v>
      </c>
    </row>
    <row r="402" spans="1:1" x14ac:dyDescent="0.25">
      <c r="A402" t="s">
        <v>1123</v>
      </c>
    </row>
    <row r="403" spans="1:1" x14ac:dyDescent="0.25">
      <c r="A403" t="s">
        <v>1124</v>
      </c>
    </row>
    <row r="404" spans="1:1" x14ac:dyDescent="0.25">
      <c r="A404" t="s">
        <v>1111</v>
      </c>
    </row>
    <row r="405" spans="1:1" x14ac:dyDescent="0.25">
      <c r="A405" t="s">
        <v>1112</v>
      </c>
    </row>
    <row r="406" spans="1:1" x14ac:dyDescent="0.25">
      <c r="A406" t="s">
        <v>994</v>
      </c>
    </row>
    <row r="407" spans="1:1" x14ac:dyDescent="0.25">
      <c r="A407" t="s">
        <v>1125</v>
      </c>
    </row>
    <row r="408" spans="1:1" x14ac:dyDescent="0.25">
      <c r="A408" t="s">
        <v>1126</v>
      </c>
    </row>
    <row r="410" spans="1:1" x14ac:dyDescent="0.25">
      <c r="A410" t="s">
        <v>1127</v>
      </c>
    </row>
    <row r="411" spans="1:1" x14ac:dyDescent="0.25">
      <c r="A411" t="s">
        <v>1128</v>
      </c>
    </row>
    <row r="412" spans="1:1" x14ac:dyDescent="0.25">
      <c r="A412" t="s">
        <v>1129</v>
      </c>
    </row>
    <row r="413" spans="1:1" x14ac:dyDescent="0.25">
      <c r="A413" t="s">
        <v>1130</v>
      </c>
    </row>
    <row r="414" spans="1:1" x14ac:dyDescent="0.25">
      <c r="A414" t="s">
        <v>1131</v>
      </c>
    </row>
    <row r="415" spans="1:1" x14ac:dyDescent="0.25">
      <c r="A415" t="s">
        <v>1132</v>
      </c>
    </row>
    <row r="417" spans="1:1" x14ac:dyDescent="0.25">
      <c r="A417" t="s">
        <v>17</v>
      </c>
    </row>
    <row r="419" spans="1:1" x14ac:dyDescent="0.25">
      <c r="A419" t="s">
        <v>1133</v>
      </c>
    </row>
    <row r="421" spans="1:1" x14ac:dyDescent="0.25">
      <c r="A421" t="s">
        <v>941</v>
      </c>
    </row>
    <row r="422" spans="1:1" x14ac:dyDescent="0.25">
      <c r="A422" t="s">
        <v>1134</v>
      </c>
    </row>
    <row r="423" spans="1:1" x14ac:dyDescent="0.25">
      <c r="A423" t="s">
        <v>962</v>
      </c>
    </row>
    <row r="424" spans="1:1" x14ac:dyDescent="0.25">
      <c r="A424" t="s">
        <v>1135</v>
      </c>
    </row>
    <row r="425" spans="1:1" x14ac:dyDescent="0.25">
      <c r="A425" t="s">
        <v>969</v>
      </c>
    </row>
    <row r="426" spans="1:1" x14ac:dyDescent="0.25">
      <c r="A426" t="s">
        <v>1000</v>
      </c>
    </row>
    <row r="427" spans="1:1" x14ac:dyDescent="0.25">
      <c r="A427" t="s">
        <v>1136</v>
      </c>
    </row>
    <row r="428" spans="1:1" x14ac:dyDescent="0.25">
      <c r="A428" t="s">
        <v>1137</v>
      </c>
    </row>
    <row r="430" spans="1:1" x14ac:dyDescent="0.25">
      <c r="A430" t="s">
        <v>1138</v>
      </c>
    </row>
    <row r="431" spans="1:1" x14ac:dyDescent="0.25">
      <c r="A431" t="s">
        <v>1139</v>
      </c>
    </row>
    <row r="432" spans="1:1" x14ac:dyDescent="0.25">
      <c r="A432" t="s">
        <v>1140</v>
      </c>
    </row>
    <row r="433" spans="1:1" x14ac:dyDescent="0.25">
      <c r="A433" t="s">
        <v>1141</v>
      </c>
    </row>
    <row r="434" spans="1:1" x14ac:dyDescent="0.25">
      <c r="A434" t="s">
        <v>1142</v>
      </c>
    </row>
    <row r="435" spans="1:1" x14ac:dyDescent="0.25">
      <c r="A435" t="s">
        <v>1143</v>
      </c>
    </row>
    <row r="436" spans="1:1" x14ac:dyDescent="0.25">
      <c r="A436" t="s">
        <v>1144</v>
      </c>
    </row>
    <row r="437" spans="1:1" x14ac:dyDescent="0.25">
      <c r="A437" t="s">
        <v>1145</v>
      </c>
    </row>
    <row r="438" spans="1:1" x14ac:dyDescent="0.25">
      <c r="A438" t="s">
        <v>1146</v>
      </c>
    </row>
    <row r="439" spans="1:1" x14ac:dyDescent="0.25">
      <c r="A439" t="s">
        <v>1147</v>
      </c>
    </row>
    <row r="441" spans="1:1" x14ac:dyDescent="0.25">
      <c r="A441" t="s">
        <v>1148</v>
      </c>
    </row>
    <row r="442" spans="1:1" x14ac:dyDescent="0.25">
      <c r="A442" t="s">
        <v>1149</v>
      </c>
    </row>
    <row r="443" spans="1:1" x14ac:dyDescent="0.25">
      <c r="A443" t="s">
        <v>1150</v>
      </c>
    </row>
    <row r="444" spans="1:1" x14ac:dyDescent="0.25">
      <c r="A444" t="s">
        <v>1151</v>
      </c>
    </row>
    <row r="445" spans="1:1" x14ac:dyDescent="0.25">
      <c r="A445" t="s">
        <v>1152</v>
      </c>
    </row>
    <row r="446" spans="1:1" x14ac:dyDescent="0.25">
      <c r="A446" t="s">
        <v>1153</v>
      </c>
    </row>
    <row r="447" spans="1:1" x14ac:dyDescent="0.25">
      <c r="A447" t="s">
        <v>1154</v>
      </c>
    </row>
    <row r="448" spans="1:1" x14ac:dyDescent="0.25">
      <c r="A448" t="s">
        <v>1155</v>
      </c>
    </row>
    <row r="449" spans="1:1" x14ac:dyDescent="0.25">
      <c r="A449" t="s">
        <v>1156</v>
      </c>
    </row>
    <row r="451" spans="1:1" x14ac:dyDescent="0.25">
      <c r="A451" t="s">
        <v>18</v>
      </c>
    </row>
    <row r="453" spans="1:1" x14ac:dyDescent="0.25">
      <c r="A453" t="s">
        <v>1157</v>
      </c>
    </row>
    <row r="454" spans="1:1" x14ac:dyDescent="0.25">
      <c r="A454" t="s">
        <v>1158</v>
      </c>
    </row>
    <row r="455" spans="1:1" x14ac:dyDescent="0.25">
      <c r="A455" t="s">
        <v>953</v>
      </c>
    </row>
    <row r="456" spans="1:1" x14ac:dyDescent="0.25">
      <c r="A456" t="s">
        <v>1159</v>
      </c>
    </row>
    <row r="457" spans="1:1" x14ac:dyDescent="0.25">
      <c r="A457" t="s">
        <v>1160</v>
      </c>
    </row>
    <row r="458" spans="1:1" x14ac:dyDescent="0.25">
      <c r="A458" t="s">
        <v>1161</v>
      </c>
    </row>
    <row r="459" spans="1:1" x14ac:dyDescent="0.25">
      <c r="A459" t="s">
        <v>1162</v>
      </c>
    </row>
    <row r="460" spans="1:1" x14ac:dyDescent="0.25">
      <c r="A460" t="s">
        <v>1040</v>
      </c>
    </row>
    <row r="462" spans="1:1" x14ac:dyDescent="0.25">
      <c r="A462" t="s">
        <v>1163</v>
      </c>
    </row>
    <row r="463" spans="1:1" x14ac:dyDescent="0.25">
      <c r="A463" t="s">
        <v>1164</v>
      </c>
    </row>
    <row r="464" spans="1:1" x14ac:dyDescent="0.25">
      <c r="A464" t="s">
        <v>1165</v>
      </c>
    </row>
    <row r="465" spans="1:1" x14ac:dyDescent="0.25">
      <c r="A465" t="s">
        <v>1166</v>
      </c>
    </row>
    <row r="466" spans="1:1" x14ac:dyDescent="0.25">
      <c r="A466" t="s">
        <v>1167</v>
      </c>
    </row>
    <row r="467" spans="1:1" x14ac:dyDescent="0.25">
      <c r="A467" t="s">
        <v>1168</v>
      </c>
    </row>
    <row r="468" spans="1:1" x14ac:dyDescent="0.25">
      <c r="A468" t="s">
        <v>1040</v>
      </c>
    </row>
    <row r="469" spans="1:1" x14ac:dyDescent="0.25">
      <c r="A469" t="s">
        <v>953</v>
      </c>
    </row>
    <row r="470" spans="1:1" x14ac:dyDescent="0.25">
      <c r="A470" t="s">
        <v>1169</v>
      </c>
    </row>
    <row r="471" spans="1:1" x14ac:dyDescent="0.25">
      <c r="A471" t="s">
        <v>1152</v>
      </c>
    </row>
    <row r="472" spans="1:1" x14ac:dyDescent="0.25">
      <c r="A472" t="s">
        <v>1170</v>
      </c>
    </row>
    <row r="473" spans="1:1" x14ac:dyDescent="0.25">
      <c r="A473" t="s">
        <v>1171</v>
      </c>
    </row>
    <row r="474" spans="1:1" x14ac:dyDescent="0.25">
      <c r="A474" t="s">
        <v>994</v>
      </c>
    </row>
    <row r="475" spans="1:1" x14ac:dyDescent="0.25">
      <c r="A475" t="s">
        <v>1172</v>
      </c>
    </row>
    <row r="476" spans="1:1" x14ac:dyDescent="0.25">
      <c r="A476" t="s">
        <v>1173</v>
      </c>
    </row>
    <row r="477" spans="1:1" x14ac:dyDescent="0.25">
      <c r="A477" t="s">
        <v>1174</v>
      </c>
    </row>
    <row r="478" spans="1:1" x14ac:dyDescent="0.25">
      <c r="A478" t="s">
        <v>994</v>
      </c>
    </row>
    <row r="479" spans="1:1" x14ac:dyDescent="0.25">
      <c r="A479" t="s">
        <v>1153</v>
      </c>
    </row>
    <row r="480" spans="1:1" x14ac:dyDescent="0.25">
      <c r="A480" t="s">
        <v>1154</v>
      </c>
    </row>
    <row r="481" spans="1:1" x14ac:dyDescent="0.25">
      <c r="A481" t="s">
        <v>1175</v>
      </c>
    </row>
    <row r="482" spans="1:1" x14ac:dyDescent="0.25">
      <c r="A482" t="s">
        <v>990</v>
      </c>
    </row>
    <row r="483" spans="1:1" x14ac:dyDescent="0.25">
      <c r="A483" t="s">
        <v>1176</v>
      </c>
    </row>
    <row r="484" spans="1:1" x14ac:dyDescent="0.25">
      <c r="A484" t="s">
        <v>1177</v>
      </c>
    </row>
    <row r="485" spans="1:1" x14ac:dyDescent="0.25">
      <c r="A485" t="s">
        <v>1178</v>
      </c>
    </row>
    <row r="486" spans="1:1" x14ac:dyDescent="0.25">
      <c r="A486" t="s">
        <v>1179</v>
      </c>
    </row>
    <row r="487" spans="1:1" x14ac:dyDescent="0.25">
      <c r="A487" t="s">
        <v>1180</v>
      </c>
    </row>
    <row r="488" spans="1:1" x14ac:dyDescent="0.25">
      <c r="A488" t="s">
        <v>1181</v>
      </c>
    </row>
    <row r="489" spans="1:1" x14ac:dyDescent="0.25">
      <c r="A489" t="s">
        <v>1182</v>
      </c>
    </row>
    <row r="490" spans="1:1" x14ac:dyDescent="0.25">
      <c r="A490" t="s">
        <v>1183</v>
      </c>
    </row>
    <row r="491" spans="1:1" x14ac:dyDescent="0.25">
      <c r="A491" t="s">
        <v>1184</v>
      </c>
    </row>
    <row r="492" spans="1:1" x14ac:dyDescent="0.25">
      <c r="A492" t="s">
        <v>1185</v>
      </c>
    </row>
    <row r="494" spans="1:1" x14ac:dyDescent="0.25">
      <c r="A494" t="s">
        <v>1186</v>
      </c>
    </row>
    <row r="495" spans="1:1" x14ac:dyDescent="0.25">
      <c r="A495" t="s">
        <v>1187</v>
      </c>
    </row>
    <row r="496" spans="1:1" x14ac:dyDescent="0.25">
      <c r="A496" t="s">
        <v>1188</v>
      </c>
    </row>
    <row r="497" spans="1:1" x14ac:dyDescent="0.25">
      <c r="A497" t="s">
        <v>1189</v>
      </c>
    </row>
    <row r="498" spans="1:1" x14ac:dyDescent="0.25">
      <c r="A498" t="s">
        <v>1190</v>
      </c>
    </row>
    <row r="499" spans="1:1" x14ac:dyDescent="0.25">
      <c r="A499" t="s">
        <v>1191</v>
      </c>
    </row>
    <row r="500" spans="1:1" x14ac:dyDescent="0.25">
      <c r="A500" t="s">
        <v>1192</v>
      </c>
    </row>
    <row r="501" spans="1:1" x14ac:dyDescent="0.25">
      <c r="A501" t="s">
        <v>1193</v>
      </c>
    </row>
    <row r="503" spans="1:1" x14ac:dyDescent="0.25">
      <c r="A503" t="s">
        <v>0</v>
      </c>
    </row>
    <row r="504" spans="1:1" x14ac:dyDescent="0.25">
      <c r="A504" t="s">
        <v>19</v>
      </c>
    </row>
    <row r="505" spans="1:1" x14ac:dyDescent="0.25">
      <c r="A505" t="s">
        <v>0</v>
      </c>
    </row>
    <row r="506" spans="1:1" x14ac:dyDescent="0.25">
      <c r="A506" t="s">
        <v>1194</v>
      </c>
    </row>
    <row r="507" spans="1:1" x14ac:dyDescent="0.25">
      <c r="A507" t="s">
        <v>1195</v>
      </c>
    </row>
    <row r="508" spans="1:1" x14ac:dyDescent="0.25">
      <c r="A508" t="s">
        <v>1196</v>
      </c>
    </row>
    <row r="510" spans="1:1" x14ac:dyDescent="0.25">
      <c r="A510" t="s">
        <v>1197</v>
      </c>
    </row>
    <row r="512" spans="1:1" x14ac:dyDescent="0.25">
      <c r="A512" t="s">
        <v>1198</v>
      </c>
    </row>
    <row r="513" spans="1:1" x14ac:dyDescent="0.25">
      <c r="A513" t="s">
        <v>1199</v>
      </c>
    </row>
    <row r="514" spans="1:1" x14ac:dyDescent="0.25">
      <c r="A514" t="s">
        <v>1200</v>
      </c>
    </row>
    <row r="515" spans="1:1" x14ac:dyDescent="0.25">
      <c r="A515" t="s">
        <v>1201</v>
      </c>
    </row>
    <row r="516" spans="1:1" x14ac:dyDescent="0.25">
      <c r="A516" t="s">
        <v>1202</v>
      </c>
    </row>
    <row r="518" spans="1:1" x14ac:dyDescent="0.25">
      <c r="A518" t="s">
        <v>1203</v>
      </c>
    </row>
    <row r="519" spans="1:1" x14ac:dyDescent="0.25">
      <c r="A519" t="s">
        <v>1204</v>
      </c>
    </row>
    <row r="520" spans="1:1" x14ac:dyDescent="0.25">
      <c r="A520" t="s">
        <v>1205</v>
      </c>
    </row>
    <row r="522" spans="1:1" x14ac:dyDescent="0.25">
      <c r="A522" t="s">
        <v>1206</v>
      </c>
    </row>
    <row r="523" spans="1:1" x14ac:dyDescent="0.25">
      <c r="A523" t="s">
        <v>1207</v>
      </c>
    </row>
    <row r="524" spans="1:1" x14ac:dyDescent="0.25">
      <c r="A524" t="s">
        <v>1208</v>
      </c>
    </row>
    <row r="525" spans="1:1" x14ac:dyDescent="0.25">
      <c r="A525" t="s">
        <v>1209</v>
      </c>
    </row>
    <row r="526" spans="1:1" x14ac:dyDescent="0.25">
      <c r="A526" t="s">
        <v>1210</v>
      </c>
    </row>
    <row r="527" spans="1:1" x14ac:dyDescent="0.25">
      <c r="A527" t="s">
        <v>1211</v>
      </c>
    </row>
    <row r="529" spans="1:1" x14ac:dyDescent="0.25">
      <c r="A529" t="s">
        <v>1212</v>
      </c>
    </row>
    <row r="530" spans="1:1" x14ac:dyDescent="0.25">
      <c r="A530" t="s">
        <v>1213</v>
      </c>
    </row>
    <row r="532" spans="1:1" x14ac:dyDescent="0.25">
      <c r="A532" t="s">
        <v>1214</v>
      </c>
    </row>
    <row r="533" spans="1:1" x14ac:dyDescent="0.25">
      <c r="A533" t="s">
        <v>1215</v>
      </c>
    </row>
    <row r="534" spans="1:1" x14ac:dyDescent="0.25">
      <c r="A534" t="s">
        <v>1216</v>
      </c>
    </row>
    <row r="535" spans="1:1" x14ac:dyDescent="0.25">
      <c r="A535" t="s">
        <v>1217</v>
      </c>
    </row>
    <row r="536" spans="1:1" x14ac:dyDescent="0.25">
      <c r="A536" t="s">
        <v>1218</v>
      </c>
    </row>
    <row r="537" spans="1:1" x14ac:dyDescent="0.25">
      <c r="A537" t="s">
        <v>1219</v>
      </c>
    </row>
    <row r="539" spans="1:1" x14ac:dyDescent="0.25">
      <c r="A539" t="s">
        <v>1220</v>
      </c>
    </row>
    <row r="540" spans="1:1" x14ac:dyDescent="0.25">
      <c r="A540" t="s">
        <v>1221</v>
      </c>
    </row>
    <row r="541" spans="1:1" x14ac:dyDescent="0.25">
      <c r="A541" t="s">
        <v>1222</v>
      </c>
    </row>
    <row r="542" spans="1:1" x14ac:dyDescent="0.25">
      <c r="A542" t="s">
        <v>1223</v>
      </c>
    </row>
    <row r="544" spans="1:1" x14ac:dyDescent="0.25">
      <c r="A544" t="s">
        <v>1224</v>
      </c>
    </row>
    <row r="545" spans="1:1" x14ac:dyDescent="0.25">
      <c r="A545" t="s">
        <v>1225</v>
      </c>
    </row>
    <row r="546" spans="1:1" x14ac:dyDescent="0.25">
      <c r="A546" t="s">
        <v>1226</v>
      </c>
    </row>
    <row r="548" spans="1:1" x14ac:dyDescent="0.25">
      <c r="A548" t="s">
        <v>20</v>
      </c>
    </row>
    <row r="549" spans="1:1" x14ac:dyDescent="0.25">
      <c r="A549" t="s">
        <v>1227</v>
      </c>
    </row>
    <row r="550" spans="1:1" x14ac:dyDescent="0.25">
      <c r="A550" t="s">
        <v>1228</v>
      </c>
    </row>
    <row r="551" spans="1:1" x14ac:dyDescent="0.25">
      <c r="A551" t="s">
        <v>1229</v>
      </c>
    </row>
    <row r="552" spans="1:1" x14ac:dyDescent="0.25">
      <c r="A552" t="s">
        <v>1230</v>
      </c>
    </row>
    <row r="553" spans="1:1" x14ac:dyDescent="0.25">
      <c r="A553" t="s">
        <v>1231</v>
      </c>
    </row>
    <row r="554" spans="1:1" x14ac:dyDescent="0.25">
      <c r="A554" t="s">
        <v>1232</v>
      </c>
    </row>
    <row r="555" spans="1:1" x14ac:dyDescent="0.25">
      <c r="A555" t="s">
        <v>1233</v>
      </c>
    </row>
    <row r="557" spans="1:1" x14ac:dyDescent="0.25">
      <c r="A557" t="s">
        <v>21</v>
      </c>
    </row>
    <row r="558" spans="1:1" x14ac:dyDescent="0.25">
      <c r="A558" t="s">
        <v>1234</v>
      </c>
    </row>
    <row r="559" spans="1:1" x14ac:dyDescent="0.25">
      <c r="A559" t="s">
        <v>1235</v>
      </c>
    </row>
    <row r="560" spans="1:1" x14ac:dyDescent="0.25">
      <c r="A560" t="s">
        <v>1236</v>
      </c>
    </row>
    <row r="561" spans="1:1" x14ac:dyDescent="0.25">
      <c r="A561" t="s">
        <v>1237</v>
      </c>
    </row>
    <row r="562" spans="1:1" x14ac:dyDescent="0.25">
      <c r="A562" t="s">
        <v>1238</v>
      </c>
    </row>
    <row r="564" spans="1:1" x14ac:dyDescent="0.25">
      <c r="A564" t="s">
        <v>22</v>
      </c>
    </row>
    <row r="565" spans="1:1" x14ac:dyDescent="0.25">
      <c r="A565" t="s">
        <v>1239</v>
      </c>
    </row>
    <row r="566" spans="1:1" x14ac:dyDescent="0.25">
      <c r="A566" t="s">
        <v>1240</v>
      </c>
    </row>
    <row r="567" spans="1:1" x14ac:dyDescent="0.25">
      <c r="A567" t="s">
        <v>1241</v>
      </c>
    </row>
    <row r="569" spans="1:1" x14ac:dyDescent="0.25">
      <c r="A569" t="s">
        <v>1242</v>
      </c>
    </row>
    <row r="571" spans="1:1" x14ac:dyDescent="0.25">
      <c r="A571" t="s">
        <v>1243</v>
      </c>
    </row>
    <row r="572" spans="1:1" x14ac:dyDescent="0.25">
      <c r="A572" t="s">
        <v>1244</v>
      </c>
    </row>
    <row r="573" spans="1:1" x14ac:dyDescent="0.25">
      <c r="A573" t="s">
        <v>1245</v>
      </c>
    </row>
    <row r="574" spans="1:1" x14ac:dyDescent="0.25">
      <c r="A574" t="s">
        <v>1246</v>
      </c>
    </row>
    <row r="575" spans="1:1" x14ac:dyDescent="0.25">
      <c r="A575" t="s">
        <v>1247</v>
      </c>
    </row>
    <row r="576" spans="1:1" x14ac:dyDescent="0.25">
      <c r="A576" t="s">
        <v>1248</v>
      </c>
    </row>
    <row r="577" spans="1:1" x14ac:dyDescent="0.25">
      <c r="A577" t="s">
        <v>1249</v>
      </c>
    </row>
    <row r="578" spans="1:1" x14ac:dyDescent="0.25">
      <c r="A578" t="s">
        <v>1250</v>
      </c>
    </row>
    <row r="580" spans="1:1" x14ac:dyDescent="0.25">
      <c r="A580" t="s">
        <v>1251</v>
      </c>
    </row>
    <row r="581" spans="1:1" x14ac:dyDescent="0.25">
      <c r="A581" t="s">
        <v>1252</v>
      </c>
    </row>
    <row r="582" spans="1:1" x14ac:dyDescent="0.25">
      <c r="A582" t="s">
        <v>1253</v>
      </c>
    </row>
    <row r="583" spans="1:1" x14ac:dyDescent="0.25">
      <c r="A583" t="s">
        <v>1254</v>
      </c>
    </row>
    <row r="584" spans="1:1" x14ac:dyDescent="0.25">
      <c r="A584" t="s">
        <v>1255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4BA1-3E8A-4B2F-A0C3-4256313E9D38}">
  <dimension ref="H6:S26"/>
  <sheetViews>
    <sheetView tabSelected="1" topLeftCell="D4" workbookViewId="0">
      <selection activeCell="S15" sqref="S15"/>
    </sheetView>
  </sheetViews>
  <sheetFormatPr defaultRowHeight="15" x14ac:dyDescent="0.25"/>
  <cols>
    <col min="8" max="10" width="16.42578125" customWidth="1"/>
  </cols>
  <sheetData>
    <row r="6" spans="8:19" x14ac:dyDescent="0.25">
      <c r="J6" t="s">
        <v>1273</v>
      </c>
      <c r="K6" t="s">
        <v>1273</v>
      </c>
      <c r="L6" t="s">
        <v>1272</v>
      </c>
      <c r="M6" t="s">
        <v>1272</v>
      </c>
      <c r="N6" t="s">
        <v>1272</v>
      </c>
    </row>
    <row r="7" spans="8:19" x14ac:dyDescent="0.25">
      <c r="H7" t="s">
        <v>1266</v>
      </c>
      <c r="I7">
        <v>5000</v>
      </c>
      <c r="J7">
        <v>5000</v>
      </c>
      <c r="K7">
        <v>5000</v>
      </c>
      <c r="L7">
        <v>20000</v>
      </c>
      <c r="M7">
        <v>20000</v>
      </c>
      <c r="N7">
        <v>20000</v>
      </c>
    </row>
    <row r="8" spans="8:19" x14ac:dyDescent="0.25">
      <c r="H8" t="s">
        <v>1267</v>
      </c>
      <c r="I8">
        <v>0</v>
      </c>
      <c r="J8">
        <v>0</v>
      </c>
      <c r="K8">
        <v>0</v>
      </c>
      <c r="L8">
        <v>1000</v>
      </c>
      <c r="M8">
        <v>1000</v>
      </c>
      <c r="N8">
        <v>1000</v>
      </c>
    </row>
    <row r="9" spans="8:19" x14ac:dyDescent="0.25">
      <c r="H9" t="s">
        <v>1268</v>
      </c>
      <c r="I9">
        <v>50000</v>
      </c>
      <c r="J9">
        <v>50000</v>
      </c>
      <c r="K9">
        <v>50000</v>
      </c>
      <c r="L9">
        <v>20000</v>
      </c>
      <c r="M9">
        <v>20000</v>
      </c>
      <c r="N9">
        <v>20000</v>
      </c>
    </row>
    <row r="10" spans="8:19" x14ac:dyDescent="0.25">
      <c r="H10" t="s">
        <v>1267</v>
      </c>
      <c r="I10">
        <v>0</v>
      </c>
      <c r="J10">
        <v>0</v>
      </c>
      <c r="K10">
        <v>0</v>
      </c>
      <c r="L10">
        <v>5000</v>
      </c>
      <c r="M10">
        <v>5000</v>
      </c>
      <c r="N10">
        <v>5000</v>
      </c>
    </row>
    <row r="11" spans="8:19" x14ac:dyDescent="0.25">
      <c r="H11" t="s">
        <v>1270</v>
      </c>
      <c r="I11">
        <v>1000</v>
      </c>
      <c r="J11">
        <v>2500</v>
      </c>
      <c r="K11">
        <v>5000</v>
      </c>
      <c r="L11">
        <v>400</v>
      </c>
      <c r="M11">
        <v>1000</v>
      </c>
      <c r="N11">
        <v>2000</v>
      </c>
    </row>
    <row r="12" spans="8:19" x14ac:dyDescent="0.25">
      <c r="H12" t="s">
        <v>1269</v>
      </c>
      <c r="I12">
        <v>500</v>
      </c>
      <c r="J12">
        <v>500</v>
      </c>
      <c r="K12">
        <v>500</v>
      </c>
      <c r="L12">
        <v>200</v>
      </c>
      <c r="M12">
        <v>500</v>
      </c>
      <c r="N12">
        <v>500</v>
      </c>
    </row>
    <row r="13" spans="8:19" x14ac:dyDescent="0.25">
      <c r="H13" t="s">
        <v>1265</v>
      </c>
      <c r="L13">
        <v>25</v>
      </c>
      <c r="M13">
        <v>50</v>
      </c>
      <c r="N13">
        <v>100</v>
      </c>
      <c r="R13" t="s">
        <v>1274</v>
      </c>
      <c r="S13" t="s">
        <v>1275</v>
      </c>
    </row>
    <row r="14" spans="8:19" x14ac:dyDescent="0.25">
      <c r="L14">
        <f>L11+L12+L7/L8*L13+L9/L10*L13</f>
        <v>1200</v>
      </c>
      <c r="M14">
        <f>M11+M12+M7/M8*M13+M9/M10*M13</f>
        <v>2700</v>
      </c>
      <c r="N14">
        <f>N11+N12+N7/N8*N13+N9/N10*N13</f>
        <v>4900</v>
      </c>
      <c r="Q14">
        <v>1200</v>
      </c>
      <c r="R14">
        <v>38.89</v>
      </c>
      <c r="S14">
        <v>27.95</v>
      </c>
    </row>
    <row r="15" spans="8:19" x14ac:dyDescent="0.25">
      <c r="H15">
        <v>1</v>
      </c>
      <c r="I15">
        <v>57.800000000000004</v>
      </c>
      <c r="J15">
        <v>37.000000000000007</v>
      </c>
      <c r="K15">
        <v>19.600000000000001</v>
      </c>
      <c r="L15">
        <v>2.37</v>
      </c>
      <c r="M15">
        <v>6</v>
      </c>
      <c r="N15">
        <v>0.47</v>
      </c>
      <c r="Q15">
        <v>2700</v>
      </c>
      <c r="R15">
        <v>31.766666666666669</v>
      </c>
      <c r="S15">
        <v>11.093</v>
      </c>
    </row>
    <row r="16" spans="8:19" x14ac:dyDescent="0.25">
      <c r="H16">
        <v>2</v>
      </c>
      <c r="I16">
        <v>23</v>
      </c>
      <c r="J16">
        <v>38.200000000000003</v>
      </c>
      <c r="K16">
        <v>16.7</v>
      </c>
      <c r="L16">
        <v>20.18</v>
      </c>
      <c r="M16">
        <v>18</v>
      </c>
      <c r="N16">
        <v>0.85</v>
      </c>
      <c r="Q16">
        <v>4900</v>
      </c>
      <c r="R16">
        <v>22.837500000000002</v>
      </c>
      <c r="S16">
        <v>2.7359999999999998</v>
      </c>
    </row>
    <row r="17" spans="8:14" x14ac:dyDescent="0.25">
      <c r="H17">
        <v>3</v>
      </c>
      <c r="I17">
        <v>75.8</v>
      </c>
      <c r="J17">
        <v>26</v>
      </c>
      <c r="K17">
        <v>14.099999999999998</v>
      </c>
      <c r="L17">
        <v>31</v>
      </c>
      <c r="M17">
        <v>9.9700000000000006</v>
      </c>
      <c r="N17">
        <v>0.89</v>
      </c>
    </row>
    <row r="18" spans="8:14" x14ac:dyDescent="0.25">
      <c r="H18">
        <v>4</v>
      </c>
      <c r="I18">
        <v>66</v>
      </c>
      <c r="J18">
        <v>37.000000000000007</v>
      </c>
      <c r="K18">
        <v>50</v>
      </c>
      <c r="L18">
        <v>83</v>
      </c>
      <c r="M18">
        <v>4</v>
      </c>
      <c r="N18">
        <v>2.58</v>
      </c>
    </row>
    <row r="19" spans="8:14" x14ac:dyDescent="0.25">
      <c r="H19">
        <v>5</v>
      </c>
      <c r="I19">
        <v>36.000000000000007</v>
      </c>
      <c r="J19">
        <v>30.400000000000006</v>
      </c>
      <c r="K19">
        <v>32.1</v>
      </c>
      <c r="L19">
        <v>3.2</v>
      </c>
      <c r="M19">
        <v>22.7</v>
      </c>
      <c r="N19">
        <v>18</v>
      </c>
    </row>
    <row r="20" spans="8:14" x14ac:dyDescent="0.25">
      <c r="H20">
        <v>6</v>
      </c>
      <c r="I20">
        <v>25</v>
      </c>
      <c r="J20">
        <v>22.000000000000004</v>
      </c>
      <c r="K20">
        <v>16.000000000000004</v>
      </c>
      <c r="M20">
        <v>7.21</v>
      </c>
      <c r="N20">
        <v>1.24</v>
      </c>
    </row>
    <row r="21" spans="8:14" x14ac:dyDescent="0.25">
      <c r="H21">
        <v>7</v>
      </c>
      <c r="I21">
        <v>19</v>
      </c>
      <c r="K21">
        <v>12.8</v>
      </c>
      <c r="M21">
        <v>0.78</v>
      </c>
      <c r="N21">
        <v>0.6</v>
      </c>
    </row>
    <row r="22" spans="8:14" x14ac:dyDescent="0.25">
      <c r="H22">
        <v>8</v>
      </c>
      <c r="I22">
        <v>8.52</v>
      </c>
      <c r="K22">
        <v>21.400000000000002</v>
      </c>
      <c r="M22">
        <v>37</v>
      </c>
      <c r="N22">
        <v>0.53</v>
      </c>
    </row>
    <row r="23" spans="8:14" x14ac:dyDescent="0.25">
      <c r="H23">
        <v>9</v>
      </c>
      <c r="M23">
        <v>0.89</v>
      </c>
      <c r="N23">
        <v>1.61</v>
      </c>
    </row>
    <row r="24" spans="8:14" x14ac:dyDescent="0.25">
      <c r="H24">
        <v>10</v>
      </c>
      <c r="M24">
        <v>4.38</v>
      </c>
      <c r="N24">
        <v>0.59</v>
      </c>
    </row>
    <row r="25" spans="8:14" x14ac:dyDescent="0.25">
      <c r="H25" t="s">
        <v>853</v>
      </c>
      <c r="I25">
        <f>AVERAGE(I15:I22)</f>
        <v>38.89</v>
      </c>
      <c r="J25">
        <f>AVERAGE(J15:J20)</f>
        <v>31.766666666666669</v>
      </c>
      <c r="K25">
        <f>AVERAGE(K15:K22)</f>
        <v>22.837500000000002</v>
      </c>
      <c r="L25">
        <f>AVERAGE(L15:L19)</f>
        <v>27.95</v>
      </c>
      <c r="M25">
        <f>AVERAGE(M15:M24)</f>
        <v>11.093</v>
      </c>
      <c r="N25">
        <f>AVERAGE(N15:N24)</f>
        <v>2.7359999999999998</v>
      </c>
    </row>
    <row r="26" spans="8:14" x14ac:dyDescent="0.25">
      <c r="H26" t="s">
        <v>1271</v>
      </c>
      <c r="J26">
        <f>STDEV(J15:J20)</f>
        <v>6.7331023062676421</v>
      </c>
      <c r="K26">
        <f>STDEV(K15:K22)</f>
        <v>12.522315794498349</v>
      </c>
      <c r="M26">
        <f>STDEV(M15:M24)</f>
        <v>11.555246090941651</v>
      </c>
      <c r="N26">
        <f>STDEV(N15:N24)</f>
        <v>5.4021974952585525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489F-E3DA-4ABE-A34F-F8A979CDBA03}">
  <dimension ref="A1:A85"/>
  <sheetViews>
    <sheetView topLeftCell="A10" workbookViewId="0">
      <selection activeCell="K12" sqref="K12"/>
    </sheetView>
  </sheetViews>
  <sheetFormatPr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6" spans="1:1" x14ac:dyDescent="0.25">
      <c r="A6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53</v>
      </c>
    </row>
    <row r="34" spans="1:1" x14ac:dyDescent="0.25">
      <c r="A34" t="s">
        <v>54</v>
      </c>
    </row>
    <row r="35" spans="1:1" x14ac:dyDescent="0.25">
      <c r="A35" t="s">
        <v>55</v>
      </c>
    </row>
    <row r="36" spans="1:1" x14ac:dyDescent="0.25">
      <c r="A36" t="s">
        <v>56</v>
      </c>
    </row>
    <row r="37" spans="1:1" x14ac:dyDescent="0.25">
      <c r="A37" t="s">
        <v>57</v>
      </c>
    </row>
    <row r="38" spans="1:1" x14ac:dyDescent="0.25">
      <c r="A38" t="s">
        <v>58</v>
      </c>
    </row>
    <row r="39" spans="1:1" x14ac:dyDescent="0.25">
      <c r="A39" t="s">
        <v>59</v>
      </c>
    </row>
    <row r="40" spans="1:1" x14ac:dyDescent="0.25">
      <c r="A40" t="s">
        <v>60</v>
      </c>
    </row>
    <row r="41" spans="1:1" x14ac:dyDescent="0.25">
      <c r="A41" t="s">
        <v>61</v>
      </c>
    </row>
    <row r="42" spans="1:1" x14ac:dyDescent="0.25">
      <c r="A42" t="s">
        <v>62</v>
      </c>
    </row>
    <row r="43" spans="1:1" x14ac:dyDescent="0.25">
      <c r="A43" t="s">
        <v>63</v>
      </c>
    </row>
    <row r="44" spans="1:1" x14ac:dyDescent="0.25">
      <c r="A44" t="s">
        <v>64</v>
      </c>
    </row>
    <row r="45" spans="1:1" x14ac:dyDescent="0.25">
      <c r="A45" t="s">
        <v>65</v>
      </c>
    </row>
    <row r="46" spans="1:1" x14ac:dyDescent="0.25">
      <c r="A46" t="s">
        <v>66</v>
      </c>
    </row>
    <row r="47" spans="1:1" x14ac:dyDescent="0.25">
      <c r="A47" t="s">
        <v>67</v>
      </c>
    </row>
    <row r="48" spans="1:1" x14ac:dyDescent="0.25">
      <c r="A48" t="s">
        <v>68</v>
      </c>
    </row>
    <row r="50" spans="1:1" x14ac:dyDescent="0.25">
      <c r="A50" t="s">
        <v>69</v>
      </c>
    </row>
    <row r="52" spans="1:1" x14ac:dyDescent="0.25">
      <c r="A52" t="s">
        <v>70</v>
      </c>
    </row>
    <row r="53" spans="1:1" x14ac:dyDescent="0.25">
      <c r="A53" t="s">
        <v>71</v>
      </c>
    </row>
    <row r="54" spans="1:1" x14ac:dyDescent="0.25">
      <c r="A54" t="s">
        <v>72</v>
      </c>
    </row>
    <row r="55" spans="1:1" x14ac:dyDescent="0.25">
      <c r="A55" t="s">
        <v>73</v>
      </c>
    </row>
    <row r="57" spans="1:1" x14ac:dyDescent="0.25">
      <c r="A57" t="s">
        <v>74</v>
      </c>
    </row>
    <row r="58" spans="1:1" x14ac:dyDescent="0.25">
      <c r="A58" t="s">
        <v>75</v>
      </c>
    </row>
    <row r="59" spans="1:1" x14ac:dyDescent="0.25">
      <c r="A59" t="s">
        <v>76</v>
      </c>
    </row>
    <row r="60" spans="1:1" x14ac:dyDescent="0.25">
      <c r="A60" t="s">
        <v>77</v>
      </c>
    </row>
    <row r="62" spans="1:1" x14ac:dyDescent="0.25">
      <c r="A62" t="s">
        <v>78</v>
      </c>
    </row>
    <row r="63" spans="1:1" x14ac:dyDescent="0.25">
      <c r="A63" t="s">
        <v>79</v>
      </c>
    </row>
    <row r="64" spans="1:1" x14ac:dyDescent="0.25">
      <c r="A64" t="s">
        <v>80</v>
      </c>
    </row>
    <row r="65" spans="1:1" x14ac:dyDescent="0.25">
      <c r="A65" t="s">
        <v>81</v>
      </c>
    </row>
    <row r="67" spans="1:1" x14ac:dyDescent="0.25">
      <c r="A67" t="s">
        <v>82</v>
      </c>
    </row>
    <row r="68" spans="1:1" x14ac:dyDescent="0.25">
      <c r="A68" t="s">
        <v>83</v>
      </c>
    </row>
    <row r="69" spans="1:1" x14ac:dyDescent="0.25">
      <c r="A69" t="s">
        <v>84</v>
      </c>
    </row>
    <row r="70" spans="1:1" x14ac:dyDescent="0.25">
      <c r="A70" t="s">
        <v>85</v>
      </c>
    </row>
    <row r="72" spans="1:1" x14ac:dyDescent="0.25">
      <c r="A72" t="s">
        <v>86</v>
      </c>
    </row>
    <row r="73" spans="1:1" x14ac:dyDescent="0.25">
      <c r="A73" t="s">
        <v>87</v>
      </c>
    </row>
    <row r="74" spans="1:1" x14ac:dyDescent="0.25">
      <c r="A74" t="s">
        <v>88</v>
      </c>
    </row>
    <row r="76" spans="1:1" x14ac:dyDescent="0.25">
      <c r="A76" t="s">
        <v>89</v>
      </c>
    </row>
    <row r="77" spans="1:1" x14ac:dyDescent="0.25">
      <c r="A77" t="s">
        <v>90</v>
      </c>
    </row>
    <row r="78" spans="1:1" x14ac:dyDescent="0.25">
      <c r="A78" t="s">
        <v>91</v>
      </c>
    </row>
    <row r="79" spans="1:1" x14ac:dyDescent="0.25">
      <c r="A79" t="s">
        <v>92</v>
      </c>
    </row>
    <row r="80" spans="1:1" x14ac:dyDescent="0.25">
      <c r="A80" t="s">
        <v>93</v>
      </c>
    </row>
    <row r="81" spans="1:1" x14ac:dyDescent="0.25">
      <c r="A81" t="s">
        <v>94</v>
      </c>
    </row>
    <row r="82" spans="1:1" x14ac:dyDescent="0.25">
      <c r="A82" t="s">
        <v>95</v>
      </c>
    </row>
    <row r="83" spans="1:1" x14ac:dyDescent="0.25">
      <c r="A83" t="s">
        <v>96</v>
      </c>
    </row>
    <row r="85" spans="1:1" x14ac:dyDescent="0.25">
      <c r="A85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C3668-2050-49E9-BDFB-95B14DC60A5B}">
  <dimension ref="A1:K116"/>
  <sheetViews>
    <sheetView workbookViewId="0">
      <selection activeCell="I13" sqref="I13"/>
    </sheetView>
  </sheetViews>
  <sheetFormatPr defaultRowHeight="15" x14ac:dyDescent="0.25"/>
  <sheetData>
    <row r="1" spans="1:11" x14ac:dyDescent="0.25">
      <c r="A1" t="s">
        <v>210</v>
      </c>
      <c r="F1" t="s">
        <v>211</v>
      </c>
      <c r="G1" t="s">
        <v>212</v>
      </c>
    </row>
    <row r="2" spans="1:11" x14ac:dyDescent="0.25">
      <c r="A2" t="s">
        <v>23</v>
      </c>
      <c r="K2" t="s">
        <v>0</v>
      </c>
    </row>
    <row r="3" spans="1:11" x14ac:dyDescent="0.25">
      <c r="A3" t="s">
        <v>24</v>
      </c>
      <c r="K3" t="s">
        <v>2</v>
      </c>
    </row>
    <row r="4" spans="1:11" x14ac:dyDescent="0.25">
      <c r="A4" t="s">
        <v>25</v>
      </c>
      <c r="K4" t="s">
        <v>0</v>
      </c>
    </row>
    <row r="5" spans="1:11" x14ac:dyDescent="0.25">
      <c r="A5" t="s">
        <v>26</v>
      </c>
      <c r="K5" t="s">
        <v>189</v>
      </c>
    </row>
    <row r="6" spans="1:11" x14ac:dyDescent="0.25">
      <c r="K6" t="s">
        <v>190</v>
      </c>
    </row>
    <row r="7" spans="1:11" x14ac:dyDescent="0.25">
      <c r="A7" t="s">
        <v>27</v>
      </c>
    </row>
    <row r="8" spans="1:11" x14ac:dyDescent="0.25">
      <c r="K8" t="s">
        <v>3</v>
      </c>
    </row>
    <row r="9" spans="1:11" x14ac:dyDescent="0.25">
      <c r="A9" t="s">
        <v>28</v>
      </c>
      <c r="K9" t="s">
        <v>191</v>
      </c>
    </row>
    <row r="10" spans="1:11" x14ac:dyDescent="0.25">
      <c r="A10" t="s">
        <v>98</v>
      </c>
      <c r="K10" t="s">
        <v>192</v>
      </c>
    </row>
    <row r="11" spans="1:11" x14ac:dyDescent="0.25">
      <c r="A11" t="s">
        <v>99</v>
      </c>
      <c r="K11" t="s">
        <v>193</v>
      </c>
    </row>
    <row r="12" spans="1:11" x14ac:dyDescent="0.25">
      <c r="A12" t="s">
        <v>100</v>
      </c>
      <c r="K12" t="s">
        <v>194</v>
      </c>
    </row>
    <row r="13" spans="1:11" x14ac:dyDescent="0.25">
      <c r="A13" t="s">
        <v>101</v>
      </c>
      <c r="K13" t="s">
        <v>195</v>
      </c>
    </row>
    <row r="14" spans="1:11" x14ac:dyDescent="0.25">
      <c r="A14" t="s">
        <v>102</v>
      </c>
      <c r="K14" t="s">
        <v>196</v>
      </c>
    </row>
    <row r="15" spans="1:11" x14ac:dyDescent="0.25">
      <c r="A15" t="s">
        <v>103</v>
      </c>
      <c r="K15" t="s">
        <v>197</v>
      </c>
    </row>
    <row r="16" spans="1:11" x14ac:dyDescent="0.25">
      <c r="A16" t="s">
        <v>104</v>
      </c>
    </row>
    <row r="17" spans="1:11" x14ac:dyDescent="0.25">
      <c r="A17" t="s">
        <v>105</v>
      </c>
      <c r="K17" t="s">
        <v>4</v>
      </c>
    </row>
    <row r="18" spans="1:11" x14ac:dyDescent="0.25">
      <c r="A18" t="s">
        <v>106</v>
      </c>
      <c r="K18" t="s">
        <v>198</v>
      </c>
    </row>
    <row r="19" spans="1:11" x14ac:dyDescent="0.25">
      <c r="A19" t="s">
        <v>107</v>
      </c>
      <c r="K19" t="s">
        <v>199</v>
      </c>
    </row>
    <row r="20" spans="1:11" x14ac:dyDescent="0.25">
      <c r="A20" t="s">
        <v>108</v>
      </c>
      <c r="K20" t="s">
        <v>200</v>
      </c>
    </row>
    <row r="21" spans="1:11" x14ac:dyDescent="0.25">
      <c r="A21" t="s">
        <v>109</v>
      </c>
    </row>
    <row r="22" spans="1:11" x14ac:dyDescent="0.25">
      <c r="A22" t="s">
        <v>110</v>
      </c>
      <c r="K22" t="s">
        <v>5</v>
      </c>
    </row>
    <row r="23" spans="1:11" x14ac:dyDescent="0.25">
      <c r="A23" t="s">
        <v>111</v>
      </c>
      <c r="K23" t="s">
        <v>201</v>
      </c>
    </row>
    <row r="24" spans="1:11" x14ac:dyDescent="0.25">
      <c r="A24" t="s">
        <v>112</v>
      </c>
      <c r="K24" t="s">
        <v>202</v>
      </c>
    </row>
    <row r="25" spans="1:11" x14ac:dyDescent="0.25">
      <c r="A25" t="s">
        <v>113</v>
      </c>
      <c r="K25" t="s">
        <v>203</v>
      </c>
    </row>
    <row r="26" spans="1:11" x14ac:dyDescent="0.25">
      <c r="A26" t="s">
        <v>114</v>
      </c>
      <c r="K26" t="s">
        <v>204</v>
      </c>
    </row>
    <row r="27" spans="1:11" x14ac:dyDescent="0.25">
      <c r="A27" t="s">
        <v>115</v>
      </c>
      <c r="K27" t="s">
        <v>205</v>
      </c>
    </row>
    <row r="28" spans="1:11" x14ac:dyDescent="0.25">
      <c r="A28" t="s">
        <v>116</v>
      </c>
      <c r="K28" t="s">
        <v>206</v>
      </c>
    </row>
    <row r="29" spans="1:11" x14ac:dyDescent="0.25">
      <c r="A29" t="s">
        <v>117</v>
      </c>
    </row>
    <row r="30" spans="1:11" x14ac:dyDescent="0.25">
      <c r="A30" t="s">
        <v>118</v>
      </c>
      <c r="K30" t="s">
        <v>6</v>
      </c>
    </row>
    <row r="31" spans="1:11" x14ac:dyDescent="0.25">
      <c r="A31" t="s">
        <v>119</v>
      </c>
      <c r="K31" t="s">
        <v>207</v>
      </c>
    </row>
    <row r="32" spans="1:11" x14ac:dyDescent="0.25">
      <c r="A32" t="s">
        <v>120</v>
      </c>
      <c r="K32" t="s">
        <v>208</v>
      </c>
    </row>
    <row r="33" spans="1:11" x14ac:dyDescent="0.25">
      <c r="A33" t="s">
        <v>121</v>
      </c>
      <c r="K33" t="s">
        <v>209</v>
      </c>
    </row>
    <row r="34" spans="1:11" x14ac:dyDescent="0.25">
      <c r="A34" t="s">
        <v>122</v>
      </c>
    </row>
    <row r="35" spans="1:11" x14ac:dyDescent="0.25">
      <c r="A35" t="s">
        <v>123</v>
      </c>
    </row>
    <row r="36" spans="1:11" x14ac:dyDescent="0.25">
      <c r="A36" t="s">
        <v>124</v>
      </c>
    </row>
    <row r="37" spans="1:11" x14ac:dyDescent="0.25">
      <c r="A37" t="s">
        <v>125</v>
      </c>
    </row>
    <row r="38" spans="1:11" x14ac:dyDescent="0.25">
      <c r="A38" t="s">
        <v>126</v>
      </c>
    </row>
    <row r="39" spans="1:11" x14ac:dyDescent="0.25">
      <c r="A39" t="s">
        <v>127</v>
      </c>
    </row>
    <row r="40" spans="1:11" x14ac:dyDescent="0.25">
      <c r="A40" t="s">
        <v>128</v>
      </c>
    </row>
    <row r="41" spans="1:11" x14ac:dyDescent="0.25">
      <c r="A41" t="s">
        <v>129</v>
      </c>
    </row>
    <row r="42" spans="1:11" x14ac:dyDescent="0.25">
      <c r="A42" t="s">
        <v>130</v>
      </c>
    </row>
    <row r="43" spans="1:11" x14ac:dyDescent="0.25">
      <c r="A43" t="s">
        <v>131</v>
      </c>
    </row>
    <row r="44" spans="1:11" x14ac:dyDescent="0.25">
      <c r="A44" t="s">
        <v>132</v>
      </c>
    </row>
    <row r="45" spans="1:11" x14ac:dyDescent="0.25">
      <c r="A45" t="s">
        <v>133</v>
      </c>
    </row>
    <row r="46" spans="1:11" x14ac:dyDescent="0.25">
      <c r="A46" t="s">
        <v>134</v>
      </c>
    </row>
    <row r="47" spans="1:11" x14ac:dyDescent="0.25">
      <c r="A47" t="s">
        <v>135</v>
      </c>
    </row>
    <row r="48" spans="1:11" x14ac:dyDescent="0.25">
      <c r="A48" t="s">
        <v>136</v>
      </c>
    </row>
    <row r="49" spans="1:1" x14ac:dyDescent="0.25">
      <c r="A49" t="s">
        <v>137</v>
      </c>
    </row>
    <row r="51" spans="1:1" x14ac:dyDescent="0.25">
      <c r="A51" t="s">
        <v>69</v>
      </c>
    </row>
    <row r="53" spans="1:1" x14ac:dyDescent="0.25">
      <c r="A53" t="s">
        <v>70</v>
      </c>
    </row>
    <row r="54" spans="1:1" x14ac:dyDescent="0.25">
      <c r="A54" t="s">
        <v>138</v>
      </c>
    </row>
    <row r="55" spans="1:1" x14ac:dyDescent="0.25">
      <c r="A55" t="s">
        <v>139</v>
      </c>
    </row>
    <row r="56" spans="1:1" x14ac:dyDescent="0.25">
      <c r="A56" t="s">
        <v>140</v>
      </c>
    </row>
    <row r="57" spans="1:1" x14ac:dyDescent="0.25">
      <c r="A57" t="s">
        <v>141</v>
      </c>
    </row>
    <row r="58" spans="1:1" x14ac:dyDescent="0.25">
      <c r="A58" t="s">
        <v>142</v>
      </c>
    </row>
    <row r="59" spans="1:1" x14ac:dyDescent="0.25">
      <c r="A59" t="s">
        <v>143</v>
      </c>
    </row>
    <row r="60" spans="1:1" x14ac:dyDescent="0.25">
      <c r="A60" t="s">
        <v>144</v>
      </c>
    </row>
    <row r="61" spans="1:1" x14ac:dyDescent="0.25">
      <c r="A61" t="s">
        <v>145</v>
      </c>
    </row>
    <row r="62" spans="1:1" x14ac:dyDescent="0.25">
      <c r="A62" t="s">
        <v>146</v>
      </c>
    </row>
    <row r="64" spans="1:1" x14ac:dyDescent="0.25">
      <c r="A64" t="s">
        <v>74</v>
      </c>
    </row>
    <row r="65" spans="1:1" x14ac:dyDescent="0.25">
      <c r="A65" t="s">
        <v>147</v>
      </c>
    </row>
    <row r="66" spans="1:1" x14ac:dyDescent="0.25">
      <c r="A66" t="s">
        <v>148</v>
      </c>
    </row>
    <row r="67" spans="1:1" x14ac:dyDescent="0.25">
      <c r="A67" t="s">
        <v>149</v>
      </c>
    </row>
    <row r="68" spans="1:1" x14ac:dyDescent="0.25">
      <c r="A68" t="s">
        <v>150</v>
      </c>
    </row>
    <row r="69" spans="1:1" x14ac:dyDescent="0.25">
      <c r="A69" t="s">
        <v>151</v>
      </c>
    </row>
    <row r="70" spans="1:1" x14ac:dyDescent="0.25">
      <c r="A70" t="s">
        <v>152</v>
      </c>
    </row>
    <row r="71" spans="1:1" x14ac:dyDescent="0.25">
      <c r="A71" t="s">
        <v>153</v>
      </c>
    </row>
    <row r="72" spans="1:1" x14ac:dyDescent="0.25">
      <c r="A72" t="s">
        <v>154</v>
      </c>
    </row>
    <row r="73" spans="1:1" x14ac:dyDescent="0.25">
      <c r="A73" t="s">
        <v>155</v>
      </c>
    </row>
    <row r="75" spans="1:1" x14ac:dyDescent="0.25">
      <c r="A75" t="s">
        <v>78</v>
      </c>
    </row>
    <row r="76" spans="1:1" x14ac:dyDescent="0.25">
      <c r="A76" t="s">
        <v>156</v>
      </c>
    </row>
    <row r="77" spans="1:1" x14ac:dyDescent="0.25">
      <c r="A77" t="s">
        <v>157</v>
      </c>
    </row>
    <row r="78" spans="1:1" x14ac:dyDescent="0.25">
      <c r="A78" t="s">
        <v>158</v>
      </c>
    </row>
    <row r="79" spans="1:1" x14ac:dyDescent="0.25">
      <c r="A79" t="s">
        <v>159</v>
      </c>
    </row>
    <row r="80" spans="1:1" x14ac:dyDescent="0.25">
      <c r="A80" t="s">
        <v>160</v>
      </c>
    </row>
    <row r="81" spans="1:1" x14ac:dyDescent="0.25">
      <c r="A81" t="s">
        <v>161</v>
      </c>
    </row>
    <row r="82" spans="1:1" x14ac:dyDescent="0.25">
      <c r="A82" t="s">
        <v>162</v>
      </c>
    </row>
    <row r="83" spans="1:1" x14ac:dyDescent="0.25">
      <c r="A83" t="s">
        <v>163</v>
      </c>
    </row>
    <row r="84" spans="1:1" x14ac:dyDescent="0.25">
      <c r="A84" t="s">
        <v>164</v>
      </c>
    </row>
    <row r="86" spans="1:1" x14ac:dyDescent="0.25">
      <c r="A86" t="s">
        <v>82</v>
      </c>
    </row>
    <row r="87" spans="1:1" x14ac:dyDescent="0.25">
      <c r="A87" t="s">
        <v>165</v>
      </c>
    </row>
    <row r="88" spans="1:1" x14ac:dyDescent="0.25">
      <c r="A88" t="s">
        <v>166</v>
      </c>
    </row>
    <row r="89" spans="1:1" x14ac:dyDescent="0.25">
      <c r="A89" t="s">
        <v>167</v>
      </c>
    </row>
    <row r="90" spans="1:1" x14ac:dyDescent="0.25">
      <c r="A90" t="s">
        <v>168</v>
      </c>
    </row>
    <row r="91" spans="1:1" x14ac:dyDescent="0.25">
      <c r="A91" t="s">
        <v>169</v>
      </c>
    </row>
    <row r="92" spans="1:1" x14ac:dyDescent="0.25">
      <c r="A92" t="s">
        <v>170</v>
      </c>
    </row>
    <row r="93" spans="1:1" x14ac:dyDescent="0.25">
      <c r="A93" t="s">
        <v>171</v>
      </c>
    </row>
    <row r="94" spans="1:1" x14ac:dyDescent="0.25">
      <c r="A94" t="s">
        <v>172</v>
      </c>
    </row>
    <row r="95" spans="1:1" x14ac:dyDescent="0.25">
      <c r="A95" t="s">
        <v>173</v>
      </c>
    </row>
    <row r="97" spans="1:1" x14ac:dyDescent="0.25">
      <c r="A97" t="s">
        <v>86</v>
      </c>
    </row>
    <row r="98" spans="1:1" x14ac:dyDescent="0.25">
      <c r="A98" t="s">
        <v>174</v>
      </c>
    </row>
    <row r="99" spans="1:1" x14ac:dyDescent="0.25">
      <c r="A99" t="s">
        <v>175</v>
      </c>
    </row>
    <row r="100" spans="1:1" x14ac:dyDescent="0.25">
      <c r="A100" t="s">
        <v>176</v>
      </c>
    </row>
    <row r="101" spans="1:1" x14ac:dyDescent="0.25">
      <c r="A101" t="s">
        <v>177</v>
      </c>
    </row>
    <row r="102" spans="1:1" x14ac:dyDescent="0.25">
      <c r="A102" t="s">
        <v>178</v>
      </c>
    </row>
    <row r="103" spans="1:1" x14ac:dyDescent="0.25">
      <c r="A103" t="s">
        <v>179</v>
      </c>
    </row>
    <row r="104" spans="1:1" x14ac:dyDescent="0.25">
      <c r="A104" t="s">
        <v>180</v>
      </c>
    </row>
    <row r="105" spans="1:1" x14ac:dyDescent="0.25">
      <c r="A105" t="s">
        <v>181</v>
      </c>
    </row>
    <row r="107" spans="1:1" x14ac:dyDescent="0.25">
      <c r="A107" t="s">
        <v>89</v>
      </c>
    </row>
    <row r="108" spans="1:1" x14ac:dyDescent="0.25">
      <c r="A108" t="s">
        <v>90</v>
      </c>
    </row>
    <row r="109" spans="1:1" x14ac:dyDescent="0.25">
      <c r="A109" t="s">
        <v>182</v>
      </c>
    </row>
    <row r="110" spans="1:1" x14ac:dyDescent="0.25">
      <c r="A110" t="s">
        <v>183</v>
      </c>
    </row>
    <row r="111" spans="1:1" x14ac:dyDescent="0.25">
      <c r="A111" t="s">
        <v>184</v>
      </c>
    </row>
    <row r="112" spans="1:1" x14ac:dyDescent="0.25">
      <c r="A112" t="s">
        <v>185</v>
      </c>
    </row>
    <row r="113" spans="1:1" x14ac:dyDescent="0.25">
      <c r="A113" t="s">
        <v>186</v>
      </c>
    </row>
    <row r="114" spans="1:1" x14ac:dyDescent="0.25">
      <c r="A114" t="s">
        <v>187</v>
      </c>
    </row>
    <row r="116" spans="1:1" x14ac:dyDescent="0.25">
      <c r="A116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F22F-7294-4BC8-BE98-EC05AD5F93B7}">
  <dimension ref="A1:A115"/>
  <sheetViews>
    <sheetView topLeftCell="A106" workbookViewId="0">
      <selection activeCell="D90" sqref="D90"/>
    </sheetView>
  </sheetViews>
  <sheetFormatPr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6" spans="1:1" x14ac:dyDescent="0.25">
      <c r="A6" t="s">
        <v>27</v>
      </c>
    </row>
    <row r="8" spans="1:1" x14ac:dyDescent="0.25">
      <c r="A8" t="s">
        <v>28</v>
      </c>
    </row>
    <row r="9" spans="1:1" x14ac:dyDescent="0.25">
      <c r="A9" t="s">
        <v>213</v>
      </c>
    </row>
    <row r="10" spans="1:1" x14ac:dyDescent="0.25">
      <c r="A10" t="s">
        <v>214</v>
      </c>
    </row>
    <row r="11" spans="1:1" x14ac:dyDescent="0.25">
      <c r="A11" t="s">
        <v>215</v>
      </c>
    </row>
    <row r="12" spans="1:1" x14ac:dyDescent="0.25">
      <c r="A12" t="s">
        <v>216</v>
      </c>
    </row>
    <row r="13" spans="1:1" x14ac:dyDescent="0.25">
      <c r="A13" t="s">
        <v>217</v>
      </c>
    </row>
    <row r="14" spans="1:1" x14ac:dyDescent="0.25">
      <c r="A14" t="s">
        <v>218</v>
      </c>
    </row>
    <row r="15" spans="1:1" x14ac:dyDescent="0.25">
      <c r="A15" t="s">
        <v>219</v>
      </c>
    </row>
    <row r="16" spans="1:1" x14ac:dyDescent="0.25">
      <c r="A16" t="s">
        <v>220</v>
      </c>
    </row>
    <row r="17" spans="1:1" x14ac:dyDescent="0.25">
      <c r="A17" t="s">
        <v>221</v>
      </c>
    </row>
    <row r="18" spans="1:1" x14ac:dyDescent="0.25">
      <c r="A18" t="s">
        <v>222</v>
      </c>
    </row>
    <row r="19" spans="1:1" x14ac:dyDescent="0.25">
      <c r="A19" t="s">
        <v>223</v>
      </c>
    </row>
    <row r="20" spans="1:1" x14ac:dyDescent="0.25">
      <c r="A20" t="s">
        <v>224</v>
      </c>
    </row>
    <row r="21" spans="1:1" x14ac:dyDescent="0.25">
      <c r="A21" t="s">
        <v>225</v>
      </c>
    </row>
    <row r="22" spans="1:1" x14ac:dyDescent="0.25">
      <c r="A22" t="s">
        <v>226</v>
      </c>
    </row>
    <row r="23" spans="1:1" x14ac:dyDescent="0.25">
      <c r="A23" t="s">
        <v>227</v>
      </c>
    </row>
    <row r="24" spans="1:1" x14ac:dyDescent="0.25">
      <c r="A24" t="s">
        <v>228</v>
      </c>
    </row>
    <row r="25" spans="1:1" x14ac:dyDescent="0.25">
      <c r="A25" t="s">
        <v>229</v>
      </c>
    </row>
    <row r="26" spans="1:1" x14ac:dyDescent="0.25">
      <c r="A26" t="s">
        <v>230</v>
      </c>
    </row>
    <row r="27" spans="1:1" x14ac:dyDescent="0.25">
      <c r="A27" t="s">
        <v>231</v>
      </c>
    </row>
    <row r="28" spans="1:1" x14ac:dyDescent="0.25">
      <c r="A28" t="s">
        <v>232</v>
      </c>
    </row>
    <row r="29" spans="1:1" x14ac:dyDescent="0.25">
      <c r="A29" t="s">
        <v>233</v>
      </c>
    </row>
    <row r="30" spans="1:1" x14ac:dyDescent="0.25">
      <c r="A30" t="s">
        <v>234</v>
      </c>
    </row>
    <row r="31" spans="1:1" x14ac:dyDescent="0.25">
      <c r="A31" t="s">
        <v>235</v>
      </c>
    </row>
    <row r="32" spans="1:1" x14ac:dyDescent="0.25">
      <c r="A32" t="s">
        <v>236</v>
      </c>
    </row>
    <row r="33" spans="1:1" x14ac:dyDescent="0.25">
      <c r="A33" t="s">
        <v>237</v>
      </c>
    </row>
    <row r="34" spans="1:1" x14ac:dyDescent="0.25">
      <c r="A34" t="s">
        <v>238</v>
      </c>
    </row>
    <row r="35" spans="1:1" x14ac:dyDescent="0.25">
      <c r="A35" t="s">
        <v>239</v>
      </c>
    </row>
    <row r="36" spans="1:1" x14ac:dyDescent="0.25">
      <c r="A36" t="s">
        <v>240</v>
      </c>
    </row>
    <row r="37" spans="1:1" x14ac:dyDescent="0.25">
      <c r="A37" t="s">
        <v>241</v>
      </c>
    </row>
    <row r="38" spans="1:1" x14ac:dyDescent="0.25">
      <c r="A38" t="s">
        <v>242</v>
      </c>
    </row>
    <row r="39" spans="1:1" x14ac:dyDescent="0.25">
      <c r="A39" t="s">
        <v>243</v>
      </c>
    </row>
    <row r="40" spans="1:1" x14ac:dyDescent="0.25">
      <c r="A40" t="s">
        <v>244</v>
      </c>
    </row>
    <row r="41" spans="1:1" x14ac:dyDescent="0.25">
      <c r="A41" t="s">
        <v>245</v>
      </c>
    </row>
    <row r="42" spans="1:1" x14ac:dyDescent="0.25">
      <c r="A42" t="s">
        <v>246</v>
      </c>
    </row>
    <row r="43" spans="1:1" x14ac:dyDescent="0.25">
      <c r="A43" t="s">
        <v>247</v>
      </c>
    </row>
    <row r="44" spans="1:1" x14ac:dyDescent="0.25">
      <c r="A44" t="s">
        <v>248</v>
      </c>
    </row>
    <row r="45" spans="1:1" x14ac:dyDescent="0.25">
      <c r="A45" t="s">
        <v>249</v>
      </c>
    </row>
    <row r="46" spans="1:1" x14ac:dyDescent="0.25">
      <c r="A46" t="s">
        <v>250</v>
      </c>
    </row>
    <row r="47" spans="1:1" x14ac:dyDescent="0.25">
      <c r="A47" t="s">
        <v>251</v>
      </c>
    </row>
    <row r="48" spans="1:1" x14ac:dyDescent="0.25">
      <c r="A48" t="s">
        <v>252</v>
      </c>
    </row>
    <row r="50" spans="1:1" x14ac:dyDescent="0.25">
      <c r="A50" t="s">
        <v>69</v>
      </c>
    </row>
    <row r="52" spans="1:1" x14ac:dyDescent="0.25">
      <c r="A52" t="s">
        <v>70</v>
      </c>
    </row>
    <row r="53" spans="1:1" x14ac:dyDescent="0.25">
      <c r="A53" t="s">
        <v>253</v>
      </c>
    </row>
    <row r="54" spans="1:1" x14ac:dyDescent="0.25">
      <c r="A54" t="s">
        <v>254</v>
      </c>
    </row>
    <row r="55" spans="1:1" x14ac:dyDescent="0.25">
      <c r="A55" t="s">
        <v>255</v>
      </c>
    </row>
    <row r="56" spans="1:1" x14ac:dyDescent="0.25">
      <c r="A56" t="s">
        <v>256</v>
      </c>
    </row>
    <row r="57" spans="1:1" x14ac:dyDescent="0.25">
      <c r="A57" t="s">
        <v>257</v>
      </c>
    </row>
    <row r="58" spans="1:1" x14ac:dyDescent="0.25">
      <c r="A58" t="s">
        <v>258</v>
      </c>
    </row>
    <row r="59" spans="1:1" x14ac:dyDescent="0.25">
      <c r="A59" t="s">
        <v>259</v>
      </c>
    </row>
    <row r="60" spans="1:1" x14ac:dyDescent="0.25">
      <c r="A60" t="s">
        <v>260</v>
      </c>
    </row>
    <row r="61" spans="1:1" x14ac:dyDescent="0.25">
      <c r="A61" t="s">
        <v>261</v>
      </c>
    </row>
    <row r="63" spans="1:1" x14ac:dyDescent="0.25">
      <c r="A63" t="s">
        <v>74</v>
      </c>
    </row>
    <row r="64" spans="1:1" x14ac:dyDescent="0.25">
      <c r="A64" t="s">
        <v>262</v>
      </c>
    </row>
    <row r="65" spans="1:1" x14ac:dyDescent="0.25">
      <c r="A65" t="s">
        <v>263</v>
      </c>
    </row>
    <row r="66" spans="1:1" x14ac:dyDescent="0.25">
      <c r="A66" t="s">
        <v>264</v>
      </c>
    </row>
    <row r="67" spans="1:1" x14ac:dyDescent="0.25">
      <c r="A67" t="s">
        <v>265</v>
      </c>
    </row>
    <row r="68" spans="1:1" x14ac:dyDescent="0.25">
      <c r="A68" t="s">
        <v>266</v>
      </c>
    </row>
    <row r="69" spans="1:1" x14ac:dyDescent="0.25">
      <c r="A69" t="s">
        <v>267</v>
      </c>
    </row>
    <row r="70" spans="1:1" x14ac:dyDescent="0.25">
      <c r="A70" t="s">
        <v>268</v>
      </c>
    </row>
    <row r="71" spans="1:1" x14ac:dyDescent="0.25">
      <c r="A71" t="s">
        <v>269</v>
      </c>
    </row>
    <row r="72" spans="1:1" x14ac:dyDescent="0.25">
      <c r="A72" t="s">
        <v>270</v>
      </c>
    </row>
    <row r="74" spans="1:1" x14ac:dyDescent="0.25">
      <c r="A74" t="s">
        <v>78</v>
      </c>
    </row>
    <row r="75" spans="1:1" x14ac:dyDescent="0.25">
      <c r="A75" t="s">
        <v>271</v>
      </c>
    </row>
    <row r="76" spans="1:1" x14ac:dyDescent="0.25">
      <c r="A76" t="s">
        <v>272</v>
      </c>
    </row>
    <row r="77" spans="1:1" x14ac:dyDescent="0.25">
      <c r="A77" t="s">
        <v>273</v>
      </c>
    </row>
    <row r="78" spans="1:1" x14ac:dyDescent="0.25">
      <c r="A78" t="s">
        <v>274</v>
      </c>
    </row>
    <row r="79" spans="1:1" x14ac:dyDescent="0.25">
      <c r="A79" t="s">
        <v>275</v>
      </c>
    </row>
    <row r="80" spans="1:1" x14ac:dyDescent="0.25">
      <c r="A80" t="s">
        <v>276</v>
      </c>
    </row>
    <row r="81" spans="1:1" x14ac:dyDescent="0.25">
      <c r="A81" t="s">
        <v>277</v>
      </c>
    </row>
    <row r="82" spans="1:1" x14ac:dyDescent="0.25">
      <c r="A82" t="s">
        <v>278</v>
      </c>
    </row>
    <row r="83" spans="1:1" x14ac:dyDescent="0.25">
      <c r="A83" t="s">
        <v>279</v>
      </c>
    </row>
    <row r="85" spans="1:1" x14ac:dyDescent="0.25">
      <c r="A85" t="s">
        <v>82</v>
      </c>
    </row>
    <row r="86" spans="1:1" x14ac:dyDescent="0.25">
      <c r="A86" t="s">
        <v>280</v>
      </c>
    </row>
    <row r="87" spans="1:1" x14ac:dyDescent="0.25">
      <c r="A87" t="s">
        <v>281</v>
      </c>
    </row>
    <row r="88" spans="1:1" x14ac:dyDescent="0.25">
      <c r="A88" t="s">
        <v>282</v>
      </c>
    </row>
    <row r="89" spans="1:1" x14ac:dyDescent="0.25">
      <c r="A89" t="s">
        <v>283</v>
      </c>
    </row>
    <row r="90" spans="1:1" x14ac:dyDescent="0.25">
      <c r="A90" t="s">
        <v>284</v>
      </c>
    </row>
    <row r="91" spans="1:1" x14ac:dyDescent="0.25">
      <c r="A91" t="s">
        <v>285</v>
      </c>
    </row>
    <row r="92" spans="1:1" x14ac:dyDescent="0.25">
      <c r="A92" t="s">
        <v>286</v>
      </c>
    </row>
    <row r="93" spans="1:1" x14ac:dyDescent="0.25">
      <c r="A93" t="s">
        <v>287</v>
      </c>
    </row>
    <row r="94" spans="1:1" x14ac:dyDescent="0.25">
      <c r="A94" t="s">
        <v>288</v>
      </c>
    </row>
    <row r="96" spans="1:1" x14ac:dyDescent="0.25">
      <c r="A96" t="s">
        <v>86</v>
      </c>
    </row>
    <row r="97" spans="1:1" x14ac:dyDescent="0.25">
      <c r="A97" t="s">
        <v>289</v>
      </c>
    </row>
    <row r="98" spans="1:1" x14ac:dyDescent="0.25">
      <c r="A98" t="s">
        <v>290</v>
      </c>
    </row>
    <row r="99" spans="1:1" x14ac:dyDescent="0.25">
      <c r="A99" t="s">
        <v>291</v>
      </c>
    </row>
    <row r="100" spans="1:1" x14ac:dyDescent="0.25">
      <c r="A100" t="s">
        <v>292</v>
      </c>
    </row>
    <row r="101" spans="1:1" x14ac:dyDescent="0.25">
      <c r="A101" t="s">
        <v>293</v>
      </c>
    </row>
    <row r="102" spans="1:1" x14ac:dyDescent="0.25">
      <c r="A102" t="s">
        <v>294</v>
      </c>
    </row>
    <row r="103" spans="1:1" x14ac:dyDescent="0.25">
      <c r="A103" t="s">
        <v>295</v>
      </c>
    </row>
    <row r="104" spans="1:1" x14ac:dyDescent="0.25">
      <c r="A104" t="s">
        <v>296</v>
      </c>
    </row>
    <row r="106" spans="1:1" x14ac:dyDescent="0.25">
      <c r="A106" t="s">
        <v>89</v>
      </c>
    </row>
    <row r="107" spans="1:1" x14ac:dyDescent="0.25">
      <c r="A107" t="s">
        <v>90</v>
      </c>
    </row>
    <row r="108" spans="1:1" x14ac:dyDescent="0.25">
      <c r="A108" t="s">
        <v>297</v>
      </c>
    </row>
    <row r="109" spans="1:1" x14ac:dyDescent="0.25">
      <c r="A109" t="s">
        <v>298</v>
      </c>
    </row>
    <row r="110" spans="1:1" x14ac:dyDescent="0.25">
      <c r="A110" t="s">
        <v>299</v>
      </c>
    </row>
    <row r="111" spans="1:1" x14ac:dyDescent="0.25">
      <c r="A111" t="s">
        <v>300</v>
      </c>
    </row>
    <row r="112" spans="1:1" x14ac:dyDescent="0.25">
      <c r="A112" t="s">
        <v>301</v>
      </c>
    </row>
    <row r="113" spans="1:1" x14ac:dyDescent="0.25">
      <c r="A113" t="s">
        <v>302</v>
      </c>
    </row>
    <row r="115" spans="1:1" x14ac:dyDescent="0.25">
      <c r="A115" t="s">
        <v>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291E1-E85D-4291-8B2E-B160D0BE06AF}">
  <dimension ref="A1:A115"/>
  <sheetViews>
    <sheetView topLeftCell="A100" workbookViewId="0">
      <selection activeCell="G115" sqref="G115"/>
    </sheetView>
  </sheetViews>
  <sheetFormatPr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6" spans="1:1" x14ac:dyDescent="0.25">
      <c r="A6" t="s">
        <v>27</v>
      </c>
    </row>
    <row r="8" spans="1:1" x14ac:dyDescent="0.25">
      <c r="A8" t="s">
        <v>28</v>
      </c>
    </row>
    <row r="9" spans="1:1" x14ac:dyDescent="0.25">
      <c r="A9" t="s">
        <v>304</v>
      </c>
    </row>
    <row r="10" spans="1:1" x14ac:dyDescent="0.25">
      <c r="A10" t="s">
        <v>305</v>
      </c>
    </row>
    <row r="11" spans="1:1" x14ac:dyDescent="0.25">
      <c r="A11" t="s">
        <v>306</v>
      </c>
    </row>
    <row r="12" spans="1:1" x14ac:dyDescent="0.25">
      <c r="A12" t="s">
        <v>307</v>
      </c>
    </row>
    <row r="13" spans="1:1" x14ac:dyDescent="0.25">
      <c r="A13" t="s">
        <v>308</v>
      </c>
    </row>
    <row r="14" spans="1:1" x14ac:dyDescent="0.25">
      <c r="A14" t="s">
        <v>309</v>
      </c>
    </row>
    <row r="15" spans="1:1" x14ac:dyDescent="0.25">
      <c r="A15" t="s">
        <v>310</v>
      </c>
    </row>
    <row r="16" spans="1:1" x14ac:dyDescent="0.25">
      <c r="A16" t="s">
        <v>311</v>
      </c>
    </row>
    <row r="17" spans="1:1" x14ac:dyDescent="0.25">
      <c r="A17" t="s">
        <v>312</v>
      </c>
    </row>
    <row r="18" spans="1:1" x14ac:dyDescent="0.25">
      <c r="A18" t="s">
        <v>313</v>
      </c>
    </row>
    <row r="19" spans="1:1" x14ac:dyDescent="0.25">
      <c r="A19" t="s">
        <v>314</v>
      </c>
    </row>
    <row r="20" spans="1:1" x14ac:dyDescent="0.25">
      <c r="A20" t="s">
        <v>315</v>
      </c>
    </row>
    <row r="21" spans="1:1" x14ac:dyDescent="0.25">
      <c r="A21" t="s">
        <v>316</v>
      </c>
    </row>
    <row r="22" spans="1:1" x14ac:dyDescent="0.25">
      <c r="A22" t="s">
        <v>317</v>
      </c>
    </row>
    <row r="23" spans="1:1" x14ac:dyDescent="0.25">
      <c r="A23" t="s">
        <v>318</v>
      </c>
    </row>
    <row r="24" spans="1:1" x14ac:dyDescent="0.25">
      <c r="A24" t="s">
        <v>319</v>
      </c>
    </row>
    <row r="25" spans="1:1" x14ac:dyDescent="0.25">
      <c r="A25" t="s">
        <v>320</v>
      </c>
    </row>
    <row r="26" spans="1:1" x14ac:dyDescent="0.25">
      <c r="A26" t="s">
        <v>321</v>
      </c>
    </row>
    <row r="27" spans="1:1" x14ac:dyDescent="0.25">
      <c r="A27" t="s">
        <v>322</v>
      </c>
    </row>
    <row r="28" spans="1:1" x14ac:dyDescent="0.25">
      <c r="A28" t="s">
        <v>323</v>
      </c>
    </row>
    <row r="29" spans="1:1" x14ac:dyDescent="0.25">
      <c r="A29" t="s">
        <v>324</v>
      </c>
    </row>
    <row r="30" spans="1:1" x14ac:dyDescent="0.25">
      <c r="A30" t="s">
        <v>325</v>
      </c>
    </row>
    <row r="31" spans="1:1" x14ac:dyDescent="0.25">
      <c r="A31" t="s">
        <v>326</v>
      </c>
    </row>
    <row r="32" spans="1:1" x14ac:dyDescent="0.25">
      <c r="A32" t="s">
        <v>327</v>
      </c>
    </row>
    <row r="33" spans="1:1" x14ac:dyDescent="0.25">
      <c r="A33" t="s">
        <v>328</v>
      </c>
    </row>
    <row r="34" spans="1:1" x14ac:dyDescent="0.25">
      <c r="A34" t="s">
        <v>329</v>
      </c>
    </row>
    <row r="35" spans="1:1" x14ac:dyDescent="0.25">
      <c r="A35" t="s">
        <v>330</v>
      </c>
    </row>
    <row r="36" spans="1:1" x14ac:dyDescent="0.25">
      <c r="A36" t="s">
        <v>331</v>
      </c>
    </row>
    <row r="37" spans="1:1" x14ac:dyDescent="0.25">
      <c r="A37" t="s">
        <v>332</v>
      </c>
    </row>
    <row r="38" spans="1:1" x14ac:dyDescent="0.25">
      <c r="A38" t="s">
        <v>333</v>
      </c>
    </row>
    <row r="39" spans="1:1" x14ac:dyDescent="0.25">
      <c r="A39" t="s">
        <v>334</v>
      </c>
    </row>
    <row r="40" spans="1:1" x14ac:dyDescent="0.25">
      <c r="A40" t="s">
        <v>335</v>
      </c>
    </row>
    <row r="41" spans="1:1" x14ac:dyDescent="0.25">
      <c r="A41" t="s">
        <v>336</v>
      </c>
    </row>
    <row r="42" spans="1:1" x14ac:dyDescent="0.25">
      <c r="A42" t="s">
        <v>337</v>
      </c>
    </row>
    <row r="43" spans="1:1" x14ac:dyDescent="0.25">
      <c r="A43" t="s">
        <v>338</v>
      </c>
    </row>
    <row r="44" spans="1:1" x14ac:dyDescent="0.25">
      <c r="A44" t="s">
        <v>339</v>
      </c>
    </row>
    <row r="45" spans="1:1" x14ac:dyDescent="0.25">
      <c r="A45" t="s">
        <v>340</v>
      </c>
    </row>
    <row r="46" spans="1:1" x14ac:dyDescent="0.25">
      <c r="A46" t="s">
        <v>341</v>
      </c>
    </row>
    <row r="47" spans="1:1" x14ac:dyDescent="0.25">
      <c r="A47" t="s">
        <v>342</v>
      </c>
    </row>
    <row r="48" spans="1:1" x14ac:dyDescent="0.25">
      <c r="A48" t="s">
        <v>343</v>
      </c>
    </row>
    <row r="50" spans="1:1" x14ac:dyDescent="0.25">
      <c r="A50" t="s">
        <v>69</v>
      </c>
    </row>
    <row r="52" spans="1:1" x14ac:dyDescent="0.25">
      <c r="A52" t="s">
        <v>70</v>
      </c>
    </row>
    <row r="53" spans="1:1" x14ac:dyDescent="0.25">
      <c r="A53" t="s">
        <v>344</v>
      </c>
    </row>
    <row r="54" spans="1:1" x14ac:dyDescent="0.25">
      <c r="A54" t="s">
        <v>345</v>
      </c>
    </row>
    <row r="55" spans="1:1" x14ac:dyDescent="0.25">
      <c r="A55" t="s">
        <v>346</v>
      </c>
    </row>
    <row r="56" spans="1:1" x14ac:dyDescent="0.25">
      <c r="A56" t="s">
        <v>347</v>
      </c>
    </row>
    <row r="57" spans="1:1" x14ac:dyDescent="0.25">
      <c r="A57" t="s">
        <v>348</v>
      </c>
    </row>
    <row r="58" spans="1:1" x14ac:dyDescent="0.25">
      <c r="A58" t="s">
        <v>349</v>
      </c>
    </row>
    <row r="59" spans="1:1" x14ac:dyDescent="0.25">
      <c r="A59" t="s">
        <v>350</v>
      </c>
    </row>
    <row r="60" spans="1:1" x14ac:dyDescent="0.25">
      <c r="A60" t="s">
        <v>351</v>
      </c>
    </row>
    <row r="61" spans="1:1" x14ac:dyDescent="0.25">
      <c r="A61" t="s">
        <v>352</v>
      </c>
    </row>
    <row r="63" spans="1:1" x14ac:dyDescent="0.25">
      <c r="A63" t="s">
        <v>74</v>
      </c>
    </row>
    <row r="64" spans="1:1" x14ac:dyDescent="0.25">
      <c r="A64" t="s">
        <v>353</v>
      </c>
    </row>
    <row r="65" spans="1:1" x14ac:dyDescent="0.25">
      <c r="A65" t="s">
        <v>354</v>
      </c>
    </row>
    <row r="66" spans="1:1" x14ac:dyDescent="0.25">
      <c r="A66" t="s">
        <v>355</v>
      </c>
    </row>
    <row r="67" spans="1:1" x14ac:dyDescent="0.25">
      <c r="A67" t="s">
        <v>356</v>
      </c>
    </row>
    <row r="68" spans="1:1" x14ac:dyDescent="0.25">
      <c r="A68" t="s">
        <v>357</v>
      </c>
    </row>
    <row r="69" spans="1:1" x14ac:dyDescent="0.25">
      <c r="A69" t="s">
        <v>358</v>
      </c>
    </row>
    <row r="70" spans="1:1" x14ac:dyDescent="0.25">
      <c r="A70" t="s">
        <v>359</v>
      </c>
    </row>
    <row r="71" spans="1:1" x14ac:dyDescent="0.25">
      <c r="A71" t="s">
        <v>360</v>
      </c>
    </row>
    <row r="72" spans="1:1" x14ac:dyDescent="0.25">
      <c r="A72" t="s">
        <v>361</v>
      </c>
    </row>
    <row r="74" spans="1:1" x14ac:dyDescent="0.25">
      <c r="A74" t="s">
        <v>78</v>
      </c>
    </row>
    <row r="75" spans="1:1" x14ac:dyDescent="0.25">
      <c r="A75" t="s">
        <v>362</v>
      </c>
    </row>
    <row r="76" spans="1:1" x14ac:dyDescent="0.25">
      <c r="A76" t="s">
        <v>363</v>
      </c>
    </row>
    <row r="77" spans="1:1" x14ac:dyDescent="0.25">
      <c r="A77" t="s">
        <v>364</v>
      </c>
    </row>
    <row r="78" spans="1:1" x14ac:dyDescent="0.25">
      <c r="A78" t="s">
        <v>365</v>
      </c>
    </row>
    <row r="79" spans="1:1" x14ac:dyDescent="0.25">
      <c r="A79" t="s">
        <v>366</v>
      </c>
    </row>
    <row r="80" spans="1:1" x14ac:dyDescent="0.25">
      <c r="A80" t="s">
        <v>367</v>
      </c>
    </row>
    <row r="81" spans="1:1" x14ac:dyDescent="0.25">
      <c r="A81" t="s">
        <v>368</v>
      </c>
    </row>
    <row r="82" spans="1:1" x14ac:dyDescent="0.25">
      <c r="A82" t="s">
        <v>369</v>
      </c>
    </row>
    <row r="83" spans="1:1" x14ac:dyDescent="0.25">
      <c r="A83" t="s">
        <v>370</v>
      </c>
    </row>
    <row r="85" spans="1:1" x14ac:dyDescent="0.25">
      <c r="A85" t="s">
        <v>82</v>
      </c>
    </row>
    <row r="86" spans="1:1" x14ac:dyDescent="0.25">
      <c r="A86" t="s">
        <v>371</v>
      </c>
    </row>
    <row r="87" spans="1:1" x14ac:dyDescent="0.25">
      <c r="A87" t="s">
        <v>372</v>
      </c>
    </row>
    <row r="88" spans="1:1" x14ac:dyDescent="0.25">
      <c r="A88" t="s">
        <v>373</v>
      </c>
    </row>
    <row r="89" spans="1:1" x14ac:dyDescent="0.25">
      <c r="A89" t="s">
        <v>374</v>
      </c>
    </row>
    <row r="90" spans="1:1" x14ac:dyDescent="0.25">
      <c r="A90" t="s">
        <v>375</v>
      </c>
    </row>
    <row r="91" spans="1:1" x14ac:dyDescent="0.25">
      <c r="A91" t="s">
        <v>376</v>
      </c>
    </row>
    <row r="92" spans="1:1" x14ac:dyDescent="0.25">
      <c r="A92" t="s">
        <v>377</v>
      </c>
    </row>
    <row r="93" spans="1:1" x14ac:dyDescent="0.25">
      <c r="A93" t="s">
        <v>378</v>
      </c>
    </row>
    <row r="94" spans="1:1" x14ac:dyDescent="0.25">
      <c r="A94" t="s">
        <v>379</v>
      </c>
    </row>
    <row r="96" spans="1:1" x14ac:dyDescent="0.25">
      <c r="A96" t="s">
        <v>86</v>
      </c>
    </row>
    <row r="97" spans="1:1" x14ac:dyDescent="0.25">
      <c r="A97" t="s">
        <v>380</v>
      </c>
    </row>
    <row r="98" spans="1:1" x14ac:dyDescent="0.25">
      <c r="A98" t="s">
        <v>381</v>
      </c>
    </row>
    <row r="99" spans="1:1" x14ac:dyDescent="0.25">
      <c r="A99" t="s">
        <v>382</v>
      </c>
    </row>
    <row r="100" spans="1:1" x14ac:dyDescent="0.25">
      <c r="A100" t="s">
        <v>383</v>
      </c>
    </row>
    <row r="101" spans="1:1" x14ac:dyDescent="0.25">
      <c r="A101" t="s">
        <v>384</v>
      </c>
    </row>
    <row r="102" spans="1:1" x14ac:dyDescent="0.25">
      <c r="A102" t="s">
        <v>385</v>
      </c>
    </row>
    <row r="103" spans="1:1" x14ac:dyDescent="0.25">
      <c r="A103" t="s">
        <v>386</v>
      </c>
    </row>
    <row r="104" spans="1:1" x14ac:dyDescent="0.25">
      <c r="A104" t="s">
        <v>387</v>
      </c>
    </row>
    <row r="106" spans="1:1" x14ac:dyDescent="0.25">
      <c r="A106" t="s">
        <v>89</v>
      </c>
    </row>
    <row r="107" spans="1:1" x14ac:dyDescent="0.25">
      <c r="A107" t="s">
        <v>90</v>
      </c>
    </row>
    <row r="108" spans="1:1" x14ac:dyDescent="0.25">
      <c r="A108" t="s">
        <v>388</v>
      </c>
    </row>
    <row r="109" spans="1:1" x14ac:dyDescent="0.25">
      <c r="A109" t="s">
        <v>389</v>
      </c>
    </row>
    <row r="110" spans="1:1" x14ac:dyDescent="0.25">
      <c r="A110" t="s">
        <v>390</v>
      </c>
    </row>
    <row r="111" spans="1:1" x14ac:dyDescent="0.25">
      <c r="A111" t="s">
        <v>391</v>
      </c>
    </row>
    <row r="112" spans="1:1" x14ac:dyDescent="0.25">
      <c r="A112" t="s">
        <v>392</v>
      </c>
    </row>
    <row r="113" spans="1:1" x14ac:dyDescent="0.25">
      <c r="A113" t="s">
        <v>393</v>
      </c>
    </row>
    <row r="115" spans="1:1" x14ac:dyDescent="0.25">
      <c r="A115" t="s">
        <v>394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B9B7-A8F4-4A75-B98A-C21A4FA5322B}">
  <dimension ref="A1:A115"/>
  <sheetViews>
    <sheetView topLeftCell="A100" workbookViewId="0">
      <selection activeCell="G120" sqref="G120"/>
    </sheetView>
  </sheetViews>
  <sheetFormatPr defaultRowHeight="15" x14ac:dyDescent="0.25"/>
  <sheetData>
    <row r="1" spans="1:1" x14ac:dyDescent="0.25">
      <c r="A1" t="s">
        <v>395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6" spans="1:1" x14ac:dyDescent="0.25">
      <c r="A6" t="s">
        <v>27</v>
      </c>
    </row>
    <row r="8" spans="1:1" x14ac:dyDescent="0.25">
      <c r="A8" t="s">
        <v>28</v>
      </c>
    </row>
    <row r="9" spans="1:1" x14ac:dyDescent="0.25">
      <c r="A9" t="s">
        <v>396</v>
      </c>
    </row>
    <row r="10" spans="1:1" x14ac:dyDescent="0.25">
      <c r="A10" t="s">
        <v>397</v>
      </c>
    </row>
    <row r="11" spans="1:1" x14ac:dyDescent="0.25">
      <c r="A11" t="s">
        <v>398</v>
      </c>
    </row>
    <row r="12" spans="1:1" x14ac:dyDescent="0.25">
      <c r="A12" t="s">
        <v>399</v>
      </c>
    </row>
    <row r="13" spans="1:1" x14ac:dyDescent="0.25">
      <c r="A13" t="s">
        <v>400</v>
      </c>
    </row>
    <row r="14" spans="1:1" x14ac:dyDescent="0.25">
      <c r="A14" t="s">
        <v>401</v>
      </c>
    </row>
    <row r="15" spans="1:1" x14ac:dyDescent="0.25">
      <c r="A15" t="s">
        <v>402</v>
      </c>
    </row>
    <row r="16" spans="1:1" x14ac:dyDescent="0.25">
      <c r="A16" t="s">
        <v>403</v>
      </c>
    </row>
    <row r="17" spans="1:1" x14ac:dyDescent="0.25">
      <c r="A17" t="s">
        <v>404</v>
      </c>
    </row>
    <row r="18" spans="1:1" x14ac:dyDescent="0.25">
      <c r="A18" t="s">
        <v>405</v>
      </c>
    </row>
    <row r="19" spans="1:1" x14ac:dyDescent="0.25">
      <c r="A19" t="s">
        <v>406</v>
      </c>
    </row>
    <row r="20" spans="1:1" x14ac:dyDescent="0.25">
      <c r="A20" t="s">
        <v>407</v>
      </c>
    </row>
    <row r="21" spans="1:1" x14ac:dyDescent="0.25">
      <c r="A21" t="s">
        <v>408</v>
      </c>
    </row>
    <row r="22" spans="1:1" x14ac:dyDescent="0.25">
      <c r="A22" t="s">
        <v>409</v>
      </c>
    </row>
    <row r="23" spans="1:1" x14ac:dyDescent="0.25">
      <c r="A23" t="s">
        <v>410</v>
      </c>
    </row>
    <row r="24" spans="1:1" x14ac:dyDescent="0.25">
      <c r="A24" t="s">
        <v>411</v>
      </c>
    </row>
    <row r="25" spans="1:1" x14ac:dyDescent="0.25">
      <c r="A25" t="s">
        <v>412</v>
      </c>
    </row>
    <row r="26" spans="1:1" x14ac:dyDescent="0.25">
      <c r="A26" t="s">
        <v>413</v>
      </c>
    </row>
    <row r="27" spans="1:1" x14ac:dyDescent="0.25">
      <c r="A27" t="s">
        <v>414</v>
      </c>
    </row>
    <row r="28" spans="1:1" x14ac:dyDescent="0.25">
      <c r="A28" t="s">
        <v>415</v>
      </c>
    </row>
    <row r="29" spans="1:1" x14ac:dyDescent="0.25">
      <c r="A29" t="s">
        <v>416</v>
      </c>
    </row>
    <row r="30" spans="1:1" x14ac:dyDescent="0.25">
      <c r="A30" t="s">
        <v>417</v>
      </c>
    </row>
    <row r="31" spans="1:1" x14ac:dyDescent="0.25">
      <c r="A31" t="s">
        <v>418</v>
      </c>
    </row>
    <row r="32" spans="1:1" x14ac:dyDescent="0.25">
      <c r="A32" t="s">
        <v>419</v>
      </c>
    </row>
    <row r="33" spans="1:1" x14ac:dyDescent="0.25">
      <c r="A33" t="s">
        <v>420</v>
      </c>
    </row>
    <row r="34" spans="1:1" x14ac:dyDescent="0.25">
      <c r="A34" t="s">
        <v>421</v>
      </c>
    </row>
    <row r="35" spans="1:1" x14ac:dyDescent="0.25">
      <c r="A35" t="s">
        <v>422</v>
      </c>
    </row>
    <row r="36" spans="1:1" x14ac:dyDescent="0.25">
      <c r="A36" t="s">
        <v>423</v>
      </c>
    </row>
    <row r="37" spans="1:1" x14ac:dyDescent="0.25">
      <c r="A37" t="s">
        <v>424</v>
      </c>
    </row>
    <row r="38" spans="1:1" x14ac:dyDescent="0.25">
      <c r="A38" t="s">
        <v>425</v>
      </c>
    </row>
    <row r="39" spans="1:1" x14ac:dyDescent="0.25">
      <c r="A39" t="s">
        <v>426</v>
      </c>
    </row>
    <row r="40" spans="1:1" x14ac:dyDescent="0.25">
      <c r="A40" t="s">
        <v>427</v>
      </c>
    </row>
    <row r="41" spans="1:1" x14ac:dyDescent="0.25">
      <c r="A41" t="s">
        <v>428</v>
      </c>
    </row>
    <row r="42" spans="1:1" x14ac:dyDescent="0.25">
      <c r="A42" t="s">
        <v>429</v>
      </c>
    </row>
    <row r="43" spans="1:1" x14ac:dyDescent="0.25">
      <c r="A43" t="s">
        <v>430</v>
      </c>
    </row>
    <row r="44" spans="1:1" x14ac:dyDescent="0.25">
      <c r="A44" t="s">
        <v>431</v>
      </c>
    </row>
    <row r="45" spans="1:1" x14ac:dyDescent="0.25">
      <c r="A45" t="s">
        <v>432</v>
      </c>
    </row>
    <row r="46" spans="1:1" x14ac:dyDescent="0.25">
      <c r="A46" t="s">
        <v>433</v>
      </c>
    </row>
    <row r="47" spans="1:1" x14ac:dyDescent="0.25">
      <c r="A47" t="s">
        <v>434</v>
      </c>
    </row>
    <row r="48" spans="1:1" x14ac:dyDescent="0.25">
      <c r="A48" t="s">
        <v>435</v>
      </c>
    </row>
    <row r="50" spans="1:1" x14ac:dyDescent="0.25">
      <c r="A50" t="s">
        <v>69</v>
      </c>
    </row>
    <row r="52" spans="1:1" x14ac:dyDescent="0.25">
      <c r="A52" t="s">
        <v>70</v>
      </c>
    </row>
    <row r="53" spans="1:1" x14ac:dyDescent="0.25">
      <c r="A53" t="s">
        <v>436</v>
      </c>
    </row>
    <row r="54" spans="1:1" x14ac:dyDescent="0.25">
      <c r="A54" t="s">
        <v>437</v>
      </c>
    </row>
    <row r="55" spans="1:1" x14ac:dyDescent="0.25">
      <c r="A55" t="s">
        <v>438</v>
      </c>
    </row>
    <row r="56" spans="1:1" x14ac:dyDescent="0.25">
      <c r="A56" t="s">
        <v>439</v>
      </c>
    </row>
    <row r="57" spans="1:1" x14ac:dyDescent="0.25">
      <c r="A57" t="s">
        <v>440</v>
      </c>
    </row>
    <row r="58" spans="1:1" x14ac:dyDescent="0.25">
      <c r="A58" t="s">
        <v>441</v>
      </c>
    </row>
    <row r="59" spans="1:1" x14ac:dyDescent="0.25">
      <c r="A59" t="s">
        <v>442</v>
      </c>
    </row>
    <row r="60" spans="1:1" x14ac:dyDescent="0.25">
      <c r="A60" t="s">
        <v>443</v>
      </c>
    </row>
    <row r="61" spans="1:1" x14ac:dyDescent="0.25">
      <c r="A61" t="s">
        <v>444</v>
      </c>
    </row>
    <row r="63" spans="1:1" x14ac:dyDescent="0.25">
      <c r="A63" t="s">
        <v>74</v>
      </c>
    </row>
    <row r="64" spans="1:1" x14ac:dyDescent="0.25">
      <c r="A64" t="s">
        <v>445</v>
      </c>
    </row>
    <row r="65" spans="1:1" x14ac:dyDescent="0.25">
      <c r="A65" t="s">
        <v>446</v>
      </c>
    </row>
    <row r="66" spans="1:1" x14ac:dyDescent="0.25">
      <c r="A66" t="s">
        <v>447</v>
      </c>
    </row>
    <row r="67" spans="1:1" x14ac:dyDescent="0.25">
      <c r="A67" t="s">
        <v>448</v>
      </c>
    </row>
    <row r="68" spans="1:1" x14ac:dyDescent="0.25">
      <c r="A68" t="s">
        <v>449</v>
      </c>
    </row>
    <row r="69" spans="1:1" x14ac:dyDescent="0.25">
      <c r="A69" t="s">
        <v>450</v>
      </c>
    </row>
    <row r="70" spans="1:1" x14ac:dyDescent="0.25">
      <c r="A70" t="s">
        <v>451</v>
      </c>
    </row>
    <row r="71" spans="1:1" x14ac:dyDescent="0.25">
      <c r="A71" t="s">
        <v>452</v>
      </c>
    </row>
    <row r="72" spans="1:1" x14ac:dyDescent="0.25">
      <c r="A72" t="s">
        <v>453</v>
      </c>
    </row>
    <row r="74" spans="1:1" x14ac:dyDescent="0.25">
      <c r="A74" t="s">
        <v>78</v>
      </c>
    </row>
    <row r="75" spans="1:1" x14ac:dyDescent="0.25">
      <c r="A75" t="s">
        <v>454</v>
      </c>
    </row>
    <row r="76" spans="1:1" x14ac:dyDescent="0.25">
      <c r="A76" t="s">
        <v>455</v>
      </c>
    </row>
    <row r="77" spans="1:1" x14ac:dyDescent="0.25">
      <c r="A77" t="s">
        <v>456</v>
      </c>
    </row>
    <row r="78" spans="1:1" x14ac:dyDescent="0.25">
      <c r="A78" t="s">
        <v>457</v>
      </c>
    </row>
    <row r="79" spans="1:1" x14ac:dyDescent="0.25">
      <c r="A79" t="s">
        <v>458</v>
      </c>
    </row>
    <row r="80" spans="1:1" x14ac:dyDescent="0.25">
      <c r="A80" t="s">
        <v>459</v>
      </c>
    </row>
    <row r="81" spans="1:1" x14ac:dyDescent="0.25">
      <c r="A81" t="s">
        <v>460</v>
      </c>
    </row>
    <row r="82" spans="1:1" x14ac:dyDescent="0.25">
      <c r="A82" t="s">
        <v>461</v>
      </c>
    </row>
    <row r="83" spans="1:1" x14ac:dyDescent="0.25">
      <c r="A83" t="s">
        <v>462</v>
      </c>
    </row>
    <row r="85" spans="1:1" x14ac:dyDescent="0.25">
      <c r="A85" t="s">
        <v>82</v>
      </c>
    </row>
    <row r="86" spans="1:1" x14ac:dyDescent="0.25">
      <c r="A86" t="s">
        <v>463</v>
      </c>
    </row>
    <row r="87" spans="1:1" x14ac:dyDescent="0.25">
      <c r="A87" t="s">
        <v>464</v>
      </c>
    </row>
    <row r="88" spans="1:1" x14ac:dyDescent="0.25">
      <c r="A88" t="s">
        <v>465</v>
      </c>
    </row>
    <row r="89" spans="1:1" x14ac:dyDescent="0.25">
      <c r="A89" t="s">
        <v>466</v>
      </c>
    </row>
    <row r="90" spans="1:1" x14ac:dyDescent="0.25">
      <c r="A90" t="s">
        <v>467</v>
      </c>
    </row>
    <row r="91" spans="1:1" x14ac:dyDescent="0.25">
      <c r="A91" t="s">
        <v>468</v>
      </c>
    </row>
    <row r="92" spans="1:1" x14ac:dyDescent="0.25">
      <c r="A92" t="s">
        <v>469</v>
      </c>
    </row>
    <row r="93" spans="1:1" x14ac:dyDescent="0.25">
      <c r="A93" t="s">
        <v>470</v>
      </c>
    </row>
    <row r="94" spans="1:1" x14ac:dyDescent="0.25">
      <c r="A94" t="s">
        <v>471</v>
      </c>
    </row>
    <row r="96" spans="1:1" x14ac:dyDescent="0.25">
      <c r="A96" t="s">
        <v>86</v>
      </c>
    </row>
    <row r="97" spans="1:1" x14ac:dyDescent="0.25">
      <c r="A97" t="s">
        <v>472</v>
      </c>
    </row>
    <row r="98" spans="1:1" x14ac:dyDescent="0.25">
      <c r="A98" t="s">
        <v>473</v>
      </c>
    </row>
    <row r="99" spans="1:1" x14ac:dyDescent="0.25">
      <c r="A99" t="s">
        <v>474</v>
      </c>
    </row>
    <row r="100" spans="1:1" x14ac:dyDescent="0.25">
      <c r="A100" t="s">
        <v>475</v>
      </c>
    </row>
    <row r="101" spans="1:1" x14ac:dyDescent="0.25">
      <c r="A101" t="s">
        <v>476</v>
      </c>
    </row>
    <row r="102" spans="1:1" x14ac:dyDescent="0.25">
      <c r="A102" t="s">
        <v>477</v>
      </c>
    </row>
    <row r="103" spans="1:1" x14ac:dyDescent="0.25">
      <c r="A103" t="s">
        <v>478</v>
      </c>
    </row>
    <row r="104" spans="1:1" x14ac:dyDescent="0.25">
      <c r="A104" t="s">
        <v>479</v>
      </c>
    </row>
    <row r="106" spans="1:1" x14ac:dyDescent="0.25">
      <c r="A106" t="s">
        <v>89</v>
      </c>
    </row>
    <row r="107" spans="1:1" x14ac:dyDescent="0.25">
      <c r="A107" t="s">
        <v>90</v>
      </c>
    </row>
    <row r="108" spans="1:1" x14ac:dyDescent="0.25">
      <c r="A108" t="s">
        <v>480</v>
      </c>
    </row>
    <row r="109" spans="1:1" x14ac:dyDescent="0.25">
      <c r="A109" t="s">
        <v>481</v>
      </c>
    </row>
    <row r="110" spans="1:1" x14ac:dyDescent="0.25">
      <c r="A110" t="s">
        <v>482</v>
      </c>
    </row>
    <row r="111" spans="1:1" x14ac:dyDescent="0.25">
      <c r="A111" t="s">
        <v>483</v>
      </c>
    </row>
    <row r="112" spans="1:1" x14ac:dyDescent="0.25">
      <c r="A112" t="s">
        <v>484</v>
      </c>
    </row>
    <row r="113" spans="1:1" x14ac:dyDescent="0.25">
      <c r="A113" t="s">
        <v>485</v>
      </c>
    </row>
    <row r="115" spans="1:1" x14ac:dyDescent="0.25">
      <c r="A115" t="s">
        <v>486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A329-BFD4-49DD-AC9F-DFC8CCFBF4E8}">
  <dimension ref="A1:A115"/>
  <sheetViews>
    <sheetView topLeftCell="A97" workbookViewId="0">
      <selection activeCell="D111" sqref="D111"/>
    </sheetView>
  </sheetViews>
  <sheetFormatPr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6" spans="1:1" x14ac:dyDescent="0.25">
      <c r="A6" t="s">
        <v>27</v>
      </c>
    </row>
    <row r="8" spans="1:1" x14ac:dyDescent="0.25">
      <c r="A8" t="s">
        <v>28</v>
      </c>
    </row>
    <row r="9" spans="1:1" x14ac:dyDescent="0.25">
      <c r="A9" t="s">
        <v>487</v>
      </c>
    </row>
    <row r="10" spans="1:1" x14ac:dyDescent="0.25">
      <c r="A10" t="s">
        <v>488</v>
      </c>
    </row>
    <row r="11" spans="1:1" x14ac:dyDescent="0.25">
      <c r="A11" t="s">
        <v>489</v>
      </c>
    </row>
    <row r="12" spans="1:1" x14ac:dyDescent="0.25">
      <c r="A12" t="s">
        <v>490</v>
      </c>
    </row>
    <row r="13" spans="1:1" x14ac:dyDescent="0.25">
      <c r="A13" t="s">
        <v>491</v>
      </c>
    </row>
    <row r="14" spans="1:1" x14ac:dyDescent="0.25">
      <c r="A14" t="s">
        <v>492</v>
      </c>
    </row>
    <row r="15" spans="1:1" x14ac:dyDescent="0.25">
      <c r="A15" t="s">
        <v>493</v>
      </c>
    </row>
    <row r="16" spans="1:1" x14ac:dyDescent="0.25">
      <c r="A16" t="s">
        <v>494</v>
      </c>
    </row>
    <row r="17" spans="1:1" x14ac:dyDescent="0.25">
      <c r="A17" t="s">
        <v>495</v>
      </c>
    </row>
    <row r="18" spans="1:1" x14ac:dyDescent="0.25">
      <c r="A18" t="s">
        <v>496</v>
      </c>
    </row>
    <row r="19" spans="1:1" x14ac:dyDescent="0.25">
      <c r="A19" t="s">
        <v>497</v>
      </c>
    </row>
    <row r="20" spans="1:1" x14ac:dyDescent="0.25">
      <c r="A20" t="s">
        <v>498</v>
      </c>
    </row>
    <row r="21" spans="1:1" x14ac:dyDescent="0.25">
      <c r="A21" t="s">
        <v>499</v>
      </c>
    </row>
    <row r="22" spans="1:1" x14ac:dyDescent="0.25">
      <c r="A22" t="s">
        <v>500</v>
      </c>
    </row>
    <row r="23" spans="1:1" x14ac:dyDescent="0.25">
      <c r="A23" t="s">
        <v>501</v>
      </c>
    </row>
    <row r="24" spans="1:1" x14ac:dyDescent="0.25">
      <c r="A24" t="s">
        <v>502</v>
      </c>
    </row>
    <row r="25" spans="1:1" x14ac:dyDescent="0.25">
      <c r="A25" t="s">
        <v>503</v>
      </c>
    </row>
    <row r="26" spans="1:1" x14ac:dyDescent="0.25">
      <c r="A26" t="s">
        <v>504</v>
      </c>
    </row>
    <row r="27" spans="1:1" x14ac:dyDescent="0.25">
      <c r="A27" t="s">
        <v>505</v>
      </c>
    </row>
    <row r="28" spans="1:1" x14ac:dyDescent="0.25">
      <c r="A28" t="s">
        <v>506</v>
      </c>
    </row>
    <row r="29" spans="1:1" x14ac:dyDescent="0.25">
      <c r="A29" t="s">
        <v>507</v>
      </c>
    </row>
    <row r="30" spans="1:1" x14ac:dyDescent="0.25">
      <c r="A30" t="s">
        <v>508</v>
      </c>
    </row>
    <row r="31" spans="1:1" x14ac:dyDescent="0.25">
      <c r="A31" t="s">
        <v>509</v>
      </c>
    </row>
    <row r="32" spans="1:1" x14ac:dyDescent="0.25">
      <c r="A32" t="s">
        <v>510</v>
      </c>
    </row>
    <row r="33" spans="1:1" x14ac:dyDescent="0.25">
      <c r="A33" t="s">
        <v>511</v>
      </c>
    </row>
    <row r="34" spans="1:1" x14ac:dyDescent="0.25">
      <c r="A34" t="s">
        <v>512</v>
      </c>
    </row>
    <row r="35" spans="1:1" x14ac:dyDescent="0.25">
      <c r="A35" t="s">
        <v>513</v>
      </c>
    </row>
    <row r="36" spans="1:1" x14ac:dyDescent="0.25">
      <c r="A36" t="s">
        <v>514</v>
      </c>
    </row>
    <row r="37" spans="1:1" x14ac:dyDescent="0.25">
      <c r="A37" t="s">
        <v>515</v>
      </c>
    </row>
    <row r="38" spans="1:1" x14ac:dyDescent="0.25">
      <c r="A38" t="s">
        <v>516</v>
      </c>
    </row>
    <row r="39" spans="1:1" x14ac:dyDescent="0.25">
      <c r="A39" t="s">
        <v>517</v>
      </c>
    </row>
    <row r="40" spans="1:1" x14ac:dyDescent="0.25">
      <c r="A40" t="s">
        <v>518</v>
      </c>
    </row>
    <row r="41" spans="1:1" x14ac:dyDescent="0.25">
      <c r="A41" t="s">
        <v>519</v>
      </c>
    </row>
    <row r="42" spans="1:1" x14ac:dyDescent="0.25">
      <c r="A42" t="s">
        <v>520</v>
      </c>
    </row>
    <row r="43" spans="1:1" x14ac:dyDescent="0.25">
      <c r="A43" t="s">
        <v>521</v>
      </c>
    </row>
    <row r="44" spans="1:1" x14ac:dyDescent="0.25">
      <c r="A44" t="s">
        <v>522</v>
      </c>
    </row>
    <row r="45" spans="1:1" x14ac:dyDescent="0.25">
      <c r="A45" t="s">
        <v>523</v>
      </c>
    </row>
    <row r="46" spans="1:1" x14ac:dyDescent="0.25">
      <c r="A46" t="s">
        <v>524</v>
      </c>
    </row>
    <row r="47" spans="1:1" x14ac:dyDescent="0.25">
      <c r="A47" t="s">
        <v>525</v>
      </c>
    </row>
    <row r="48" spans="1:1" x14ac:dyDescent="0.25">
      <c r="A48" t="s">
        <v>526</v>
      </c>
    </row>
    <row r="50" spans="1:1" x14ac:dyDescent="0.25">
      <c r="A50" t="s">
        <v>69</v>
      </c>
    </row>
    <row r="52" spans="1:1" x14ac:dyDescent="0.25">
      <c r="A52" t="s">
        <v>70</v>
      </c>
    </row>
    <row r="53" spans="1:1" x14ac:dyDescent="0.25">
      <c r="A53" t="s">
        <v>527</v>
      </c>
    </row>
    <row r="54" spans="1:1" x14ac:dyDescent="0.25">
      <c r="A54" t="s">
        <v>528</v>
      </c>
    </row>
    <row r="55" spans="1:1" x14ac:dyDescent="0.25">
      <c r="A55" t="s">
        <v>529</v>
      </c>
    </row>
    <row r="56" spans="1:1" x14ac:dyDescent="0.25">
      <c r="A56" t="s">
        <v>530</v>
      </c>
    </row>
    <row r="57" spans="1:1" x14ac:dyDescent="0.25">
      <c r="A57" t="s">
        <v>531</v>
      </c>
    </row>
    <row r="58" spans="1:1" x14ac:dyDescent="0.25">
      <c r="A58" t="s">
        <v>532</v>
      </c>
    </row>
    <row r="59" spans="1:1" x14ac:dyDescent="0.25">
      <c r="A59" t="s">
        <v>533</v>
      </c>
    </row>
    <row r="60" spans="1:1" x14ac:dyDescent="0.25">
      <c r="A60" t="s">
        <v>534</v>
      </c>
    </row>
    <row r="61" spans="1:1" x14ac:dyDescent="0.25">
      <c r="A61" t="s">
        <v>535</v>
      </c>
    </row>
    <row r="63" spans="1:1" x14ac:dyDescent="0.25">
      <c r="A63" t="s">
        <v>74</v>
      </c>
    </row>
    <row r="64" spans="1:1" x14ac:dyDescent="0.25">
      <c r="A64" t="s">
        <v>536</v>
      </c>
    </row>
    <row r="65" spans="1:1" x14ac:dyDescent="0.25">
      <c r="A65" t="s">
        <v>537</v>
      </c>
    </row>
    <row r="66" spans="1:1" x14ac:dyDescent="0.25">
      <c r="A66" t="s">
        <v>538</v>
      </c>
    </row>
    <row r="67" spans="1:1" x14ac:dyDescent="0.25">
      <c r="A67" t="s">
        <v>539</v>
      </c>
    </row>
    <row r="68" spans="1:1" x14ac:dyDescent="0.25">
      <c r="A68" t="s">
        <v>540</v>
      </c>
    </row>
    <row r="69" spans="1:1" x14ac:dyDescent="0.25">
      <c r="A69" t="s">
        <v>541</v>
      </c>
    </row>
    <row r="70" spans="1:1" x14ac:dyDescent="0.25">
      <c r="A70" t="s">
        <v>542</v>
      </c>
    </row>
    <row r="71" spans="1:1" x14ac:dyDescent="0.25">
      <c r="A71" t="s">
        <v>543</v>
      </c>
    </row>
    <row r="72" spans="1:1" x14ac:dyDescent="0.25">
      <c r="A72" t="s">
        <v>544</v>
      </c>
    </row>
    <row r="74" spans="1:1" x14ac:dyDescent="0.25">
      <c r="A74" t="s">
        <v>78</v>
      </c>
    </row>
    <row r="75" spans="1:1" x14ac:dyDescent="0.25">
      <c r="A75" t="s">
        <v>545</v>
      </c>
    </row>
    <row r="76" spans="1:1" x14ac:dyDescent="0.25">
      <c r="A76" t="s">
        <v>546</v>
      </c>
    </row>
    <row r="77" spans="1:1" x14ac:dyDescent="0.25">
      <c r="A77" t="s">
        <v>547</v>
      </c>
    </row>
    <row r="78" spans="1:1" x14ac:dyDescent="0.25">
      <c r="A78" t="s">
        <v>548</v>
      </c>
    </row>
    <row r="79" spans="1:1" x14ac:dyDescent="0.25">
      <c r="A79" t="s">
        <v>549</v>
      </c>
    </row>
    <row r="80" spans="1:1" x14ac:dyDescent="0.25">
      <c r="A80" t="s">
        <v>550</v>
      </c>
    </row>
    <row r="81" spans="1:1" x14ac:dyDescent="0.25">
      <c r="A81" t="s">
        <v>551</v>
      </c>
    </row>
    <row r="82" spans="1:1" x14ac:dyDescent="0.25">
      <c r="A82" t="s">
        <v>552</v>
      </c>
    </row>
    <row r="83" spans="1:1" x14ac:dyDescent="0.25">
      <c r="A83" t="s">
        <v>553</v>
      </c>
    </row>
    <row r="85" spans="1:1" x14ac:dyDescent="0.25">
      <c r="A85" t="s">
        <v>82</v>
      </c>
    </row>
    <row r="86" spans="1:1" x14ac:dyDescent="0.25">
      <c r="A86" t="s">
        <v>554</v>
      </c>
    </row>
    <row r="87" spans="1:1" x14ac:dyDescent="0.25">
      <c r="A87" t="s">
        <v>555</v>
      </c>
    </row>
    <row r="88" spans="1:1" x14ac:dyDescent="0.25">
      <c r="A88" t="s">
        <v>556</v>
      </c>
    </row>
    <row r="89" spans="1:1" x14ac:dyDescent="0.25">
      <c r="A89" t="s">
        <v>557</v>
      </c>
    </row>
    <row r="90" spans="1:1" x14ac:dyDescent="0.25">
      <c r="A90" t="s">
        <v>558</v>
      </c>
    </row>
    <row r="91" spans="1:1" x14ac:dyDescent="0.25">
      <c r="A91" t="s">
        <v>559</v>
      </c>
    </row>
    <row r="92" spans="1:1" x14ac:dyDescent="0.25">
      <c r="A92" t="s">
        <v>560</v>
      </c>
    </row>
    <row r="93" spans="1:1" x14ac:dyDescent="0.25">
      <c r="A93" t="s">
        <v>561</v>
      </c>
    </row>
    <row r="94" spans="1:1" x14ac:dyDescent="0.25">
      <c r="A94" t="s">
        <v>562</v>
      </c>
    </row>
    <row r="96" spans="1:1" x14ac:dyDescent="0.25">
      <c r="A96" t="s">
        <v>86</v>
      </c>
    </row>
    <row r="97" spans="1:1" x14ac:dyDescent="0.25">
      <c r="A97" t="s">
        <v>563</v>
      </c>
    </row>
    <row r="98" spans="1:1" x14ac:dyDescent="0.25">
      <c r="A98" t="s">
        <v>564</v>
      </c>
    </row>
    <row r="99" spans="1:1" x14ac:dyDescent="0.25">
      <c r="A99" t="s">
        <v>565</v>
      </c>
    </row>
    <row r="100" spans="1:1" x14ac:dyDescent="0.25">
      <c r="A100" t="s">
        <v>566</v>
      </c>
    </row>
    <row r="101" spans="1:1" x14ac:dyDescent="0.25">
      <c r="A101" t="s">
        <v>567</v>
      </c>
    </row>
    <row r="102" spans="1:1" x14ac:dyDescent="0.25">
      <c r="A102" t="s">
        <v>568</v>
      </c>
    </row>
    <row r="103" spans="1:1" x14ac:dyDescent="0.25">
      <c r="A103" t="s">
        <v>569</v>
      </c>
    </row>
    <row r="104" spans="1:1" x14ac:dyDescent="0.25">
      <c r="A104" t="s">
        <v>570</v>
      </c>
    </row>
    <row r="106" spans="1:1" x14ac:dyDescent="0.25">
      <c r="A106" t="s">
        <v>89</v>
      </c>
    </row>
    <row r="107" spans="1:1" x14ac:dyDescent="0.25">
      <c r="A107" t="s">
        <v>90</v>
      </c>
    </row>
    <row r="108" spans="1:1" x14ac:dyDescent="0.25">
      <c r="A108" t="s">
        <v>571</v>
      </c>
    </row>
    <row r="109" spans="1:1" x14ac:dyDescent="0.25">
      <c r="A109" t="s">
        <v>572</v>
      </c>
    </row>
    <row r="110" spans="1:1" x14ac:dyDescent="0.25">
      <c r="A110" t="s">
        <v>573</v>
      </c>
    </row>
    <row r="111" spans="1:1" x14ac:dyDescent="0.25">
      <c r="A111" t="s">
        <v>574</v>
      </c>
    </row>
    <row r="112" spans="1:1" x14ac:dyDescent="0.25">
      <c r="A112" t="s">
        <v>575</v>
      </c>
    </row>
    <row r="113" spans="1:1" x14ac:dyDescent="0.25">
      <c r="A113" t="s">
        <v>576</v>
      </c>
    </row>
    <row r="115" spans="1:1" x14ac:dyDescent="0.25">
      <c r="A115" t="s">
        <v>577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1B71-354E-46B6-8E19-7C57408E115A}">
  <dimension ref="A1:A115"/>
  <sheetViews>
    <sheetView topLeftCell="A103" workbookViewId="0">
      <selection activeCell="H131" sqref="H131"/>
    </sheetView>
  </sheetViews>
  <sheetFormatPr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6" spans="1:1" x14ac:dyDescent="0.25">
      <c r="A6" t="s">
        <v>27</v>
      </c>
    </row>
    <row r="8" spans="1:1" x14ac:dyDescent="0.25">
      <c r="A8" t="s">
        <v>28</v>
      </c>
    </row>
    <row r="9" spans="1:1" x14ac:dyDescent="0.25">
      <c r="A9" t="s">
        <v>578</v>
      </c>
    </row>
    <row r="10" spans="1:1" x14ac:dyDescent="0.25">
      <c r="A10" t="s">
        <v>579</v>
      </c>
    </row>
    <row r="11" spans="1:1" x14ac:dyDescent="0.25">
      <c r="A11" t="s">
        <v>580</v>
      </c>
    </row>
    <row r="12" spans="1:1" x14ac:dyDescent="0.25">
      <c r="A12" t="s">
        <v>581</v>
      </c>
    </row>
    <row r="13" spans="1:1" x14ac:dyDescent="0.25">
      <c r="A13" t="s">
        <v>582</v>
      </c>
    </row>
    <row r="14" spans="1:1" x14ac:dyDescent="0.25">
      <c r="A14" t="s">
        <v>583</v>
      </c>
    </row>
    <row r="15" spans="1:1" x14ac:dyDescent="0.25">
      <c r="A15" t="s">
        <v>584</v>
      </c>
    </row>
    <row r="16" spans="1:1" x14ac:dyDescent="0.25">
      <c r="A16" t="s">
        <v>585</v>
      </c>
    </row>
    <row r="17" spans="1:1" x14ac:dyDescent="0.25">
      <c r="A17" t="s">
        <v>586</v>
      </c>
    </row>
    <row r="18" spans="1:1" x14ac:dyDescent="0.25">
      <c r="A18" t="s">
        <v>587</v>
      </c>
    </row>
    <row r="19" spans="1:1" x14ac:dyDescent="0.25">
      <c r="A19" t="s">
        <v>588</v>
      </c>
    </row>
    <row r="20" spans="1:1" x14ac:dyDescent="0.25">
      <c r="A20" t="s">
        <v>589</v>
      </c>
    </row>
    <row r="21" spans="1:1" x14ac:dyDescent="0.25">
      <c r="A21" t="s">
        <v>590</v>
      </c>
    </row>
    <row r="22" spans="1:1" x14ac:dyDescent="0.25">
      <c r="A22" t="s">
        <v>591</v>
      </c>
    </row>
    <row r="23" spans="1:1" x14ac:dyDescent="0.25">
      <c r="A23" t="s">
        <v>592</v>
      </c>
    </row>
    <row r="24" spans="1:1" x14ac:dyDescent="0.25">
      <c r="A24" t="s">
        <v>593</v>
      </c>
    </row>
    <row r="25" spans="1:1" x14ac:dyDescent="0.25">
      <c r="A25" t="s">
        <v>594</v>
      </c>
    </row>
    <row r="26" spans="1:1" x14ac:dyDescent="0.25">
      <c r="A26" t="s">
        <v>595</v>
      </c>
    </row>
    <row r="27" spans="1:1" x14ac:dyDescent="0.25">
      <c r="A27" t="s">
        <v>596</v>
      </c>
    </row>
    <row r="28" spans="1:1" x14ac:dyDescent="0.25">
      <c r="A28" t="s">
        <v>597</v>
      </c>
    </row>
    <row r="29" spans="1:1" x14ac:dyDescent="0.25">
      <c r="A29" t="s">
        <v>598</v>
      </c>
    </row>
    <row r="30" spans="1:1" x14ac:dyDescent="0.25">
      <c r="A30" t="s">
        <v>599</v>
      </c>
    </row>
    <row r="31" spans="1:1" x14ac:dyDescent="0.25">
      <c r="A31" t="s">
        <v>600</v>
      </c>
    </row>
    <row r="32" spans="1:1" x14ac:dyDescent="0.25">
      <c r="A32" t="s">
        <v>601</v>
      </c>
    </row>
    <row r="33" spans="1:1" x14ac:dyDescent="0.25">
      <c r="A33" t="s">
        <v>602</v>
      </c>
    </row>
    <row r="34" spans="1:1" x14ac:dyDescent="0.25">
      <c r="A34" t="s">
        <v>603</v>
      </c>
    </row>
    <row r="35" spans="1:1" x14ac:dyDescent="0.25">
      <c r="A35" t="s">
        <v>604</v>
      </c>
    </row>
    <row r="36" spans="1:1" x14ac:dyDescent="0.25">
      <c r="A36" t="s">
        <v>605</v>
      </c>
    </row>
    <row r="37" spans="1:1" x14ac:dyDescent="0.25">
      <c r="A37" t="s">
        <v>606</v>
      </c>
    </row>
    <row r="38" spans="1:1" x14ac:dyDescent="0.25">
      <c r="A38" t="s">
        <v>607</v>
      </c>
    </row>
    <row r="39" spans="1:1" x14ac:dyDescent="0.25">
      <c r="A39" t="s">
        <v>608</v>
      </c>
    </row>
    <row r="40" spans="1:1" x14ac:dyDescent="0.25">
      <c r="A40" t="s">
        <v>609</v>
      </c>
    </row>
    <row r="41" spans="1:1" x14ac:dyDescent="0.25">
      <c r="A41" t="s">
        <v>610</v>
      </c>
    </row>
    <row r="42" spans="1:1" x14ac:dyDescent="0.25">
      <c r="A42" t="s">
        <v>611</v>
      </c>
    </row>
    <row r="43" spans="1:1" x14ac:dyDescent="0.25">
      <c r="A43" t="s">
        <v>612</v>
      </c>
    </row>
    <row r="44" spans="1:1" x14ac:dyDescent="0.25">
      <c r="A44" t="s">
        <v>613</v>
      </c>
    </row>
    <row r="45" spans="1:1" x14ac:dyDescent="0.25">
      <c r="A45" t="s">
        <v>614</v>
      </c>
    </row>
    <row r="46" spans="1:1" x14ac:dyDescent="0.25">
      <c r="A46" t="s">
        <v>615</v>
      </c>
    </row>
    <row r="47" spans="1:1" x14ac:dyDescent="0.25">
      <c r="A47" t="s">
        <v>616</v>
      </c>
    </row>
    <row r="48" spans="1:1" x14ac:dyDescent="0.25">
      <c r="A48" t="s">
        <v>617</v>
      </c>
    </row>
    <row r="50" spans="1:1" x14ac:dyDescent="0.25">
      <c r="A50" t="s">
        <v>69</v>
      </c>
    </row>
    <row r="52" spans="1:1" x14ac:dyDescent="0.25">
      <c r="A52" t="s">
        <v>70</v>
      </c>
    </row>
    <row r="53" spans="1:1" x14ac:dyDescent="0.25">
      <c r="A53" t="s">
        <v>618</v>
      </c>
    </row>
    <row r="54" spans="1:1" x14ac:dyDescent="0.25">
      <c r="A54" t="s">
        <v>619</v>
      </c>
    </row>
    <row r="55" spans="1:1" x14ac:dyDescent="0.25">
      <c r="A55" t="s">
        <v>620</v>
      </c>
    </row>
    <row r="56" spans="1:1" x14ac:dyDescent="0.25">
      <c r="A56" t="s">
        <v>621</v>
      </c>
    </row>
    <row r="57" spans="1:1" x14ac:dyDescent="0.25">
      <c r="A57" t="s">
        <v>622</v>
      </c>
    </row>
    <row r="58" spans="1:1" x14ac:dyDescent="0.25">
      <c r="A58" t="s">
        <v>623</v>
      </c>
    </row>
    <row r="59" spans="1:1" x14ac:dyDescent="0.25">
      <c r="A59" t="s">
        <v>624</v>
      </c>
    </row>
    <row r="60" spans="1:1" x14ac:dyDescent="0.25">
      <c r="A60" t="s">
        <v>625</v>
      </c>
    </row>
    <row r="61" spans="1:1" x14ac:dyDescent="0.25">
      <c r="A61" t="s">
        <v>626</v>
      </c>
    </row>
    <row r="63" spans="1:1" x14ac:dyDescent="0.25">
      <c r="A63" t="s">
        <v>74</v>
      </c>
    </row>
    <row r="64" spans="1:1" x14ac:dyDescent="0.25">
      <c r="A64" t="s">
        <v>627</v>
      </c>
    </row>
    <row r="65" spans="1:1" x14ac:dyDescent="0.25">
      <c r="A65" t="s">
        <v>628</v>
      </c>
    </row>
    <row r="66" spans="1:1" x14ac:dyDescent="0.25">
      <c r="A66" t="s">
        <v>629</v>
      </c>
    </row>
    <row r="67" spans="1:1" x14ac:dyDescent="0.25">
      <c r="A67" t="s">
        <v>630</v>
      </c>
    </row>
    <row r="68" spans="1:1" x14ac:dyDescent="0.25">
      <c r="A68" t="s">
        <v>631</v>
      </c>
    </row>
    <row r="69" spans="1:1" x14ac:dyDescent="0.25">
      <c r="A69" t="s">
        <v>632</v>
      </c>
    </row>
    <row r="70" spans="1:1" x14ac:dyDescent="0.25">
      <c r="A70" t="s">
        <v>633</v>
      </c>
    </row>
    <row r="71" spans="1:1" x14ac:dyDescent="0.25">
      <c r="A71" t="s">
        <v>634</v>
      </c>
    </row>
    <row r="72" spans="1:1" x14ac:dyDescent="0.25">
      <c r="A72" t="s">
        <v>635</v>
      </c>
    </row>
    <row r="74" spans="1:1" x14ac:dyDescent="0.25">
      <c r="A74" t="s">
        <v>78</v>
      </c>
    </row>
    <row r="75" spans="1:1" x14ac:dyDescent="0.25">
      <c r="A75" t="s">
        <v>636</v>
      </c>
    </row>
    <row r="76" spans="1:1" x14ac:dyDescent="0.25">
      <c r="A76" t="s">
        <v>637</v>
      </c>
    </row>
    <row r="77" spans="1:1" x14ac:dyDescent="0.25">
      <c r="A77" t="s">
        <v>638</v>
      </c>
    </row>
    <row r="78" spans="1:1" x14ac:dyDescent="0.25">
      <c r="A78" t="s">
        <v>639</v>
      </c>
    </row>
    <row r="79" spans="1:1" x14ac:dyDescent="0.25">
      <c r="A79" t="s">
        <v>640</v>
      </c>
    </row>
    <row r="80" spans="1:1" x14ac:dyDescent="0.25">
      <c r="A80" t="s">
        <v>641</v>
      </c>
    </row>
    <row r="81" spans="1:1" x14ac:dyDescent="0.25">
      <c r="A81" t="s">
        <v>642</v>
      </c>
    </row>
    <row r="82" spans="1:1" x14ac:dyDescent="0.25">
      <c r="A82" t="s">
        <v>643</v>
      </c>
    </row>
    <row r="83" spans="1:1" x14ac:dyDescent="0.25">
      <c r="A83" t="s">
        <v>644</v>
      </c>
    </row>
    <row r="85" spans="1:1" x14ac:dyDescent="0.25">
      <c r="A85" t="s">
        <v>82</v>
      </c>
    </row>
    <row r="86" spans="1:1" x14ac:dyDescent="0.25">
      <c r="A86" t="s">
        <v>645</v>
      </c>
    </row>
    <row r="87" spans="1:1" x14ac:dyDescent="0.25">
      <c r="A87" t="s">
        <v>646</v>
      </c>
    </row>
    <row r="88" spans="1:1" x14ac:dyDescent="0.25">
      <c r="A88" t="s">
        <v>647</v>
      </c>
    </row>
    <row r="89" spans="1:1" x14ac:dyDescent="0.25">
      <c r="A89" t="s">
        <v>648</v>
      </c>
    </row>
    <row r="90" spans="1:1" x14ac:dyDescent="0.25">
      <c r="A90" t="s">
        <v>649</v>
      </c>
    </row>
    <row r="91" spans="1:1" x14ac:dyDescent="0.25">
      <c r="A91" t="s">
        <v>650</v>
      </c>
    </row>
    <row r="92" spans="1:1" x14ac:dyDescent="0.25">
      <c r="A92" t="s">
        <v>651</v>
      </c>
    </row>
    <row r="93" spans="1:1" x14ac:dyDescent="0.25">
      <c r="A93" t="s">
        <v>652</v>
      </c>
    </row>
    <row r="94" spans="1:1" x14ac:dyDescent="0.25">
      <c r="A94" t="s">
        <v>653</v>
      </c>
    </row>
    <row r="96" spans="1:1" x14ac:dyDescent="0.25">
      <c r="A96" t="s">
        <v>86</v>
      </c>
    </row>
    <row r="97" spans="1:1" x14ac:dyDescent="0.25">
      <c r="A97" t="s">
        <v>654</v>
      </c>
    </row>
    <row r="98" spans="1:1" x14ac:dyDescent="0.25">
      <c r="A98" t="s">
        <v>655</v>
      </c>
    </row>
    <row r="99" spans="1:1" x14ac:dyDescent="0.25">
      <c r="A99" t="s">
        <v>656</v>
      </c>
    </row>
    <row r="100" spans="1:1" x14ac:dyDescent="0.25">
      <c r="A100" t="s">
        <v>657</v>
      </c>
    </row>
    <row r="101" spans="1:1" x14ac:dyDescent="0.25">
      <c r="A101" t="s">
        <v>658</v>
      </c>
    </row>
    <row r="102" spans="1:1" x14ac:dyDescent="0.25">
      <c r="A102" t="s">
        <v>659</v>
      </c>
    </row>
    <row r="103" spans="1:1" x14ac:dyDescent="0.25">
      <c r="A103" t="s">
        <v>660</v>
      </c>
    </row>
    <row r="104" spans="1:1" x14ac:dyDescent="0.25">
      <c r="A104" t="s">
        <v>661</v>
      </c>
    </row>
    <row r="106" spans="1:1" x14ac:dyDescent="0.25">
      <c r="A106" t="s">
        <v>89</v>
      </c>
    </row>
    <row r="107" spans="1:1" x14ac:dyDescent="0.25">
      <c r="A107" t="s">
        <v>90</v>
      </c>
    </row>
    <row r="108" spans="1:1" x14ac:dyDescent="0.25">
      <c r="A108" t="s">
        <v>662</v>
      </c>
    </row>
    <row r="109" spans="1:1" x14ac:dyDescent="0.25">
      <c r="A109" t="s">
        <v>663</v>
      </c>
    </row>
    <row r="110" spans="1:1" x14ac:dyDescent="0.25">
      <c r="A110" t="s">
        <v>664</v>
      </c>
    </row>
    <row r="111" spans="1:1" x14ac:dyDescent="0.25">
      <c r="A111" t="s">
        <v>665</v>
      </c>
    </row>
    <row r="112" spans="1:1" x14ac:dyDescent="0.25">
      <c r="A112" t="s">
        <v>666</v>
      </c>
    </row>
    <row r="113" spans="1:1" x14ac:dyDescent="0.25">
      <c r="A113" t="s">
        <v>667</v>
      </c>
    </row>
    <row r="115" spans="1:1" x14ac:dyDescent="0.25">
      <c r="A115" t="s">
        <v>668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8542-B02D-4B4A-9A98-372F17815898}">
  <dimension ref="A1:A115"/>
  <sheetViews>
    <sheetView topLeftCell="A100" workbookViewId="0">
      <selection activeCell="I126" sqref="I126"/>
    </sheetView>
  </sheetViews>
  <sheetFormatPr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6" spans="1:1" x14ac:dyDescent="0.25">
      <c r="A6" t="s">
        <v>27</v>
      </c>
    </row>
    <row r="8" spans="1:1" x14ac:dyDescent="0.25">
      <c r="A8" t="s">
        <v>28</v>
      </c>
    </row>
    <row r="9" spans="1:1" x14ac:dyDescent="0.25">
      <c r="A9" t="s">
        <v>669</v>
      </c>
    </row>
    <row r="10" spans="1:1" x14ac:dyDescent="0.25">
      <c r="A10" t="s">
        <v>670</v>
      </c>
    </row>
    <row r="11" spans="1:1" x14ac:dyDescent="0.25">
      <c r="A11" t="s">
        <v>671</v>
      </c>
    </row>
    <row r="12" spans="1:1" x14ac:dyDescent="0.25">
      <c r="A12" t="s">
        <v>672</v>
      </c>
    </row>
    <row r="13" spans="1:1" x14ac:dyDescent="0.25">
      <c r="A13" t="s">
        <v>673</v>
      </c>
    </row>
    <row r="14" spans="1:1" x14ac:dyDescent="0.25">
      <c r="A14" t="s">
        <v>674</v>
      </c>
    </row>
    <row r="15" spans="1:1" x14ac:dyDescent="0.25">
      <c r="A15" t="s">
        <v>675</v>
      </c>
    </row>
    <row r="16" spans="1:1" x14ac:dyDescent="0.25">
      <c r="A16" t="s">
        <v>676</v>
      </c>
    </row>
    <row r="17" spans="1:1" x14ac:dyDescent="0.25">
      <c r="A17" t="s">
        <v>677</v>
      </c>
    </row>
    <row r="18" spans="1:1" x14ac:dyDescent="0.25">
      <c r="A18" t="s">
        <v>678</v>
      </c>
    </row>
    <row r="19" spans="1:1" x14ac:dyDescent="0.25">
      <c r="A19" t="s">
        <v>679</v>
      </c>
    </row>
    <row r="20" spans="1:1" x14ac:dyDescent="0.25">
      <c r="A20" t="s">
        <v>680</v>
      </c>
    </row>
    <row r="21" spans="1:1" x14ac:dyDescent="0.25">
      <c r="A21" t="s">
        <v>681</v>
      </c>
    </row>
    <row r="22" spans="1:1" x14ac:dyDescent="0.25">
      <c r="A22" t="s">
        <v>682</v>
      </c>
    </row>
    <row r="23" spans="1:1" x14ac:dyDescent="0.25">
      <c r="A23" t="s">
        <v>683</v>
      </c>
    </row>
    <row r="24" spans="1:1" x14ac:dyDescent="0.25">
      <c r="A24" t="s">
        <v>684</v>
      </c>
    </row>
    <row r="25" spans="1:1" x14ac:dyDescent="0.25">
      <c r="A25" t="s">
        <v>685</v>
      </c>
    </row>
    <row r="26" spans="1:1" x14ac:dyDescent="0.25">
      <c r="A26" t="s">
        <v>686</v>
      </c>
    </row>
    <row r="27" spans="1:1" x14ac:dyDescent="0.25">
      <c r="A27" t="s">
        <v>687</v>
      </c>
    </row>
    <row r="28" spans="1:1" x14ac:dyDescent="0.25">
      <c r="A28" t="s">
        <v>688</v>
      </c>
    </row>
    <row r="29" spans="1:1" x14ac:dyDescent="0.25">
      <c r="A29" t="s">
        <v>689</v>
      </c>
    </row>
    <row r="30" spans="1:1" x14ac:dyDescent="0.25">
      <c r="A30" t="s">
        <v>690</v>
      </c>
    </row>
    <row r="31" spans="1:1" x14ac:dyDescent="0.25">
      <c r="A31" t="s">
        <v>691</v>
      </c>
    </row>
    <row r="32" spans="1:1" x14ac:dyDescent="0.25">
      <c r="A32" t="s">
        <v>692</v>
      </c>
    </row>
    <row r="33" spans="1:1" x14ac:dyDescent="0.25">
      <c r="A33" t="s">
        <v>693</v>
      </c>
    </row>
    <row r="34" spans="1:1" x14ac:dyDescent="0.25">
      <c r="A34" t="s">
        <v>694</v>
      </c>
    </row>
    <row r="35" spans="1:1" x14ac:dyDescent="0.25">
      <c r="A35" t="s">
        <v>695</v>
      </c>
    </row>
    <row r="36" spans="1:1" x14ac:dyDescent="0.25">
      <c r="A36" t="s">
        <v>696</v>
      </c>
    </row>
    <row r="37" spans="1:1" x14ac:dyDescent="0.25">
      <c r="A37" t="s">
        <v>697</v>
      </c>
    </row>
    <row r="38" spans="1:1" x14ac:dyDescent="0.25">
      <c r="A38" t="s">
        <v>698</v>
      </c>
    </row>
    <row r="39" spans="1:1" x14ac:dyDescent="0.25">
      <c r="A39" t="s">
        <v>699</v>
      </c>
    </row>
    <row r="40" spans="1:1" x14ac:dyDescent="0.25">
      <c r="A40" t="s">
        <v>700</v>
      </c>
    </row>
    <row r="41" spans="1:1" x14ac:dyDescent="0.25">
      <c r="A41" t="s">
        <v>701</v>
      </c>
    </row>
    <row r="42" spans="1:1" x14ac:dyDescent="0.25">
      <c r="A42" t="s">
        <v>702</v>
      </c>
    </row>
    <row r="43" spans="1:1" x14ac:dyDescent="0.25">
      <c r="A43" t="s">
        <v>703</v>
      </c>
    </row>
    <row r="44" spans="1:1" x14ac:dyDescent="0.25">
      <c r="A44" t="s">
        <v>704</v>
      </c>
    </row>
    <row r="45" spans="1:1" x14ac:dyDescent="0.25">
      <c r="A45" t="s">
        <v>705</v>
      </c>
    </row>
    <row r="46" spans="1:1" x14ac:dyDescent="0.25">
      <c r="A46" t="s">
        <v>706</v>
      </c>
    </row>
    <row r="47" spans="1:1" x14ac:dyDescent="0.25">
      <c r="A47" t="s">
        <v>707</v>
      </c>
    </row>
    <row r="48" spans="1:1" x14ac:dyDescent="0.25">
      <c r="A48" t="s">
        <v>708</v>
      </c>
    </row>
    <row r="50" spans="1:1" x14ac:dyDescent="0.25">
      <c r="A50" t="s">
        <v>69</v>
      </c>
    </row>
    <row r="52" spans="1:1" x14ac:dyDescent="0.25">
      <c r="A52" t="s">
        <v>70</v>
      </c>
    </row>
    <row r="53" spans="1:1" x14ac:dyDescent="0.25">
      <c r="A53" t="s">
        <v>709</v>
      </c>
    </row>
    <row r="54" spans="1:1" x14ac:dyDescent="0.25">
      <c r="A54" t="s">
        <v>710</v>
      </c>
    </row>
    <row r="55" spans="1:1" x14ac:dyDescent="0.25">
      <c r="A55" t="s">
        <v>711</v>
      </c>
    </row>
    <row r="56" spans="1:1" x14ac:dyDescent="0.25">
      <c r="A56" t="s">
        <v>712</v>
      </c>
    </row>
    <row r="57" spans="1:1" x14ac:dyDescent="0.25">
      <c r="A57" t="s">
        <v>713</v>
      </c>
    </row>
    <row r="58" spans="1:1" x14ac:dyDescent="0.25">
      <c r="A58" t="s">
        <v>714</v>
      </c>
    </row>
    <row r="59" spans="1:1" x14ac:dyDescent="0.25">
      <c r="A59" t="s">
        <v>715</v>
      </c>
    </row>
    <row r="60" spans="1:1" x14ac:dyDescent="0.25">
      <c r="A60" t="s">
        <v>716</v>
      </c>
    </row>
    <row r="61" spans="1:1" x14ac:dyDescent="0.25">
      <c r="A61" t="s">
        <v>717</v>
      </c>
    </row>
    <row r="63" spans="1:1" x14ac:dyDescent="0.25">
      <c r="A63" t="s">
        <v>74</v>
      </c>
    </row>
    <row r="64" spans="1:1" x14ac:dyDescent="0.25">
      <c r="A64" t="s">
        <v>718</v>
      </c>
    </row>
    <row r="65" spans="1:1" x14ac:dyDescent="0.25">
      <c r="A65" t="s">
        <v>719</v>
      </c>
    </row>
    <row r="66" spans="1:1" x14ac:dyDescent="0.25">
      <c r="A66" t="s">
        <v>720</v>
      </c>
    </row>
    <row r="67" spans="1:1" x14ac:dyDescent="0.25">
      <c r="A67" t="s">
        <v>721</v>
      </c>
    </row>
    <row r="68" spans="1:1" x14ac:dyDescent="0.25">
      <c r="A68" t="s">
        <v>722</v>
      </c>
    </row>
    <row r="69" spans="1:1" x14ac:dyDescent="0.25">
      <c r="A69" t="s">
        <v>723</v>
      </c>
    </row>
    <row r="70" spans="1:1" x14ac:dyDescent="0.25">
      <c r="A70" t="s">
        <v>724</v>
      </c>
    </row>
    <row r="71" spans="1:1" x14ac:dyDescent="0.25">
      <c r="A71" t="s">
        <v>725</v>
      </c>
    </row>
    <row r="72" spans="1:1" x14ac:dyDescent="0.25">
      <c r="A72" t="s">
        <v>726</v>
      </c>
    </row>
    <row r="74" spans="1:1" x14ac:dyDescent="0.25">
      <c r="A74" t="s">
        <v>78</v>
      </c>
    </row>
    <row r="75" spans="1:1" x14ac:dyDescent="0.25">
      <c r="A75" t="s">
        <v>727</v>
      </c>
    </row>
    <row r="76" spans="1:1" x14ac:dyDescent="0.25">
      <c r="A76" t="s">
        <v>728</v>
      </c>
    </row>
    <row r="77" spans="1:1" x14ac:dyDescent="0.25">
      <c r="A77" t="s">
        <v>729</v>
      </c>
    </row>
    <row r="78" spans="1:1" x14ac:dyDescent="0.25">
      <c r="A78" t="s">
        <v>730</v>
      </c>
    </row>
    <row r="79" spans="1:1" x14ac:dyDescent="0.25">
      <c r="A79" t="s">
        <v>731</v>
      </c>
    </row>
    <row r="80" spans="1:1" x14ac:dyDescent="0.25">
      <c r="A80" t="s">
        <v>732</v>
      </c>
    </row>
    <row r="81" spans="1:1" x14ac:dyDescent="0.25">
      <c r="A81" t="s">
        <v>733</v>
      </c>
    </row>
    <row r="82" spans="1:1" x14ac:dyDescent="0.25">
      <c r="A82" t="s">
        <v>734</v>
      </c>
    </row>
    <row r="83" spans="1:1" x14ac:dyDescent="0.25">
      <c r="A83" t="s">
        <v>735</v>
      </c>
    </row>
    <row r="85" spans="1:1" x14ac:dyDescent="0.25">
      <c r="A85" t="s">
        <v>82</v>
      </c>
    </row>
    <row r="86" spans="1:1" x14ac:dyDescent="0.25">
      <c r="A86" t="s">
        <v>736</v>
      </c>
    </row>
    <row r="87" spans="1:1" x14ac:dyDescent="0.25">
      <c r="A87" t="s">
        <v>737</v>
      </c>
    </row>
    <row r="88" spans="1:1" x14ac:dyDescent="0.25">
      <c r="A88" t="s">
        <v>738</v>
      </c>
    </row>
    <row r="89" spans="1:1" x14ac:dyDescent="0.25">
      <c r="A89" t="s">
        <v>739</v>
      </c>
    </row>
    <row r="90" spans="1:1" x14ac:dyDescent="0.25">
      <c r="A90" t="s">
        <v>740</v>
      </c>
    </row>
    <row r="91" spans="1:1" x14ac:dyDescent="0.25">
      <c r="A91" t="s">
        <v>741</v>
      </c>
    </row>
    <row r="92" spans="1:1" x14ac:dyDescent="0.25">
      <c r="A92" t="s">
        <v>742</v>
      </c>
    </row>
    <row r="93" spans="1:1" x14ac:dyDescent="0.25">
      <c r="A93" t="s">
        <v>743</v>
      </c>
    </row>
    <row r="94" spans="1:1" x14ac:dyDescent="0.25">
      <c r="A94" t="s">
        <v>744</v>
      </c>
    </row>
    <row r="96" spans="1:1" x14ac:dyDescent="0.25">
      <c r="A96" t="s">
        <v>86</v>
      </c>
    </row>
    <row r="97" spans="1:1" x14ac:dyDescent="0.25">
      <c r="A97" t="s">
        <v>745</v>
      </c>
    </row>
    <row r="98" spans="1:1" x14ac:dyDescent="0.25">
      <c r="A98" t="s">
        <v>746</v>
      </c>
    </row>
    <row r="99" spans="1:1" x14ac:dyDescent="0.25">
      <c r="A99" t="s">
        <v>747</v>
      </c>
    </row>
    <row r="100" spans="1:1" x14ac:dyDescent="0.25">
      <c r="A100" t="s">
        <v>748</v>
      </c>
    </row>
    <row r="101" spans="1:1" x14ac:dyDescent="0.25">
      <c r="A101" t="s">
        <v>749</v>
      </c>
    </row>
    <row r="102" spans="1:1" x14ac:dyDescent="0.25">
      <c r="A102" t="s">
        <v>750</v>
      </c>
    </row>
    <row r="103" spans="1:1" x14ac:dyDescent="0.25">
      <c r="A103" t="s">
        <v>751</v>
      </c>
    </row>
    <row r="104" spans="1:1" x14ac:dyDescent="0.25">
      <c r="A104" t="s">
        <v>752</v>
      </c>
    </row>
    <row r="106" spans="1:1" x14ac:dyDescent="0.25">
      <c r="A106" t="s">
        <v>89</v>
      </c>
    </row>
    <row r="107" spans="1:1" x14ac:dyDescent="0.25">
      <c r="A107" t="s">
        <v>90</v>
      </c>
    </row>
    <row r="108" spans="1:1" x14ac:dyDescent="0.25">
      <c r="A108" t="s">
        <v>753</v>
      </c>
    </row>
    <row r="109" spans="1:1" x14ac:dyDescent="0.25">
      <c r="A109" t="s">
        <v>754</v>
      </c>
    </row>
    <row r="110" spans="1:1" x14ac:dyDescent="0.25">
      <c r="A110" t="s">
        <v>755</v>
      </c>
    </row>
    <row r="111" spans="1:1" x14ac:dyDescent="0.25">
      <c r="A111" t="s">
        <v>756</v>
      </c>
    </row>
    <row r="112" spans="1:1" x14ac:dyDescent="0.25">
      <c r="A112" t="s">
        <v>757</v>
      </c>
    </row>
    <row r="113" spans="1:1" x14ac:dyDescent="0.25">
      <c r="A113" t="s">
        <v>758</v>
      </c>
    </row>
    <row r="115" spans="1:1" x14ac:dyDescent="0.25">
      <c r="A115" t="s">
        <v>759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08B3-537B-4937-AA2E-21CADF4859A3}">
  <dimension ref="A1:A115"/>
  <sheetViews>
    <sheetView topLeftCell="A106" workbookViewId="0">
      <selection activeCell="F119" sqref="F119"/>
    </sheetView>
  </sheetViews>
  <sheetFormatPr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6" spans="1:1" x14ac:dyDescent="0.25">
      <c r="A6" t="s">
        <v>27</v>
      </c>
    </row>
    <row r="8" spans="1:1" x14ac:dyDescent="0.25">
      <c r="A8" t="s">
        <v>28</v>
      </c>
    </row>
    <row r="9" spans="1:1" x14ac:dyDescent="0.25">
      <c r="A9" t="s">
        <v>760</v>
      </c>
    </row>
    <row r="10" spans="1:1" x14ac:dyDescent="0.25">
      <c r="A10" t="s">
        <v>761</v>
      </c>
    </row>
    <row r="11" spans="1:1" x14ac:dyDescent="0.25">
      <c r="A11" t="s">
        <v>762</v>
      </c>
    </row>
    <row r="12" spans="1:1" x14ac:dyDescent="0.25">
      <c r="A12" t="s">
        <v>763</v>
      </c>
    </row>
    <row r="13" spans="1:1" x14ac:dyDescent="0.25">
      <c r="A13" t="s">
        <v>764</v>
      </c>
    </row>
    <row r="14" spans="1:1" x14ac:dyDescent="0.25">
      <c r="A14" t="s">
        <v>765</v>
      </c>
    </row>
    <row r="15" spans="1:1" x14ac:dyDescent="0.25">
      <c r="A15" t="s">
        <v>766</v>
      </c>
    </row>
    <row r="16" spans="1:1" x14ac:dyDescent="0.25">
      <c r="A16" t="s">
        <v>767</v>
      </c>
    </row>
    <row r="17" spans="1:1" x14ac:dyDescent="0.25">
      <c r="A17" t="s">
        <v>768</v>
      </c>
    </row>
    <row r="18" spans="1:1" x14ac:dyDescent="0.25">
      <c r="A18" t="s">
        <v>769</v>
      </c>
    </row>
    <row r="19" spans="1:1" x14ac:dyDescent="0.25">
      <c r="A19" t="s">
        <v>770</v>
      </c>
    </row>
    <row r="20" spans="1:1" x14ac:dyDescent="0.25">
      <c r="A20" t="s">
        <v>771</v>
      </c>
    </row>
    <row r="21" spans="1:1" x14ac:dyDescent="0.25">
      <c r="A21" t="s">
        <v>772</v>
      </c>
    </row>
    <row r="22" spans="1:1" x14ac:dyDescent="0.25">
      <c r="A22" t="s">
        <v>773</v>
      </c>
    </row>
    <row r="23" spans="1:1" x14ac:dyDescent="0.25">
      <c r="A23" t="s">
        <v>774</v>
      </c>
    </row>
    <row r="24" spans="1:1" x14ac:dyDescent="0.25">
      <c r="A24" t="s">
        <v>775</v>
      </c>
    </row>
    <row r="25" spans="1:1" x14ac:dyDescent="0.25">
      <c r="A25" t="s">
        <v>776</v>
      </c>
    </row>
    <row r="26" spans="1:1" x14ac:dyDescent="0.25">
      <c r="A26" t="s">
        <v>777</v>
      </c>
    </row>
    <row r="27" spans="1:1" x14ac:dyDescent="0.25">
      <c r="A27" t="s">
        <v>778</v>
      </c>
    </row>
    <row r="28" spans="1:1" x14ac:dyDescent="0.25">
      <c r="A28" t="s">
        <v>779</v>
      </c>
    </row>
    <row r="29" spans="1:1" x14ac:dyDescent="0.25">
      <c r="A29" t="s">
        <v>780</v>
      </c>
    </row>
    <row r="30" spans="1:1" x14ac:dyDescent="0.25">
      <c r="A30" t="s">
        <v>781</v>
      </c>
    </row>
    <row r="31" spans="1:1" x14ac:dyDescent="0.25">
      <c r="A31" t="s">
        <v>782</v>
      </c>
    </row>
    <row r="32" spans="1:1" x14ac:dyDescent="0.25">
      <c r="A32" t="s">
        <v>783</v>
      </c>
    </row>
    <row r="33" spans="1:1" x14ac:dyDescent="0.25">
      <c r="A33" t="s">
        <v>784</v>
      </c>
    </row>
    <row r="34" spans="1:1" x14ac:dyDescent="0.25">
      <c r="A34" t="s">
        <v>785</v>
      </c>
    </row>
    <row r="35" spans="1:1" x14ac:dyDescent="0.25">
      <c r="A35" t="s">
        <v>786</v>
      </c>
    </row>
    <row r="36" spans="1:1" x14ac:dyDescent="0.25">
      <c r="A36" t="s">
        <v>787</v>
      </c>
    </row>
    <row r="37" spans="1:1" x14ac:dyDescent="0.25">
      <c r="A37" t="s">
        <v>788</v>
      </c>
    </row>
    <row r="38" spans="1:1" x14ac:dyDescent="0.25">
      <c r="A38" t="s">
        <v>789</v>
      </c>
    </row>
    <row r="39" spans="1:1" x14ac:dyDescent="0.25">
      <c r="A39" t="s">
        <v>790</v>
      </c>
    </row>
    <row r="40" spans="1:1" x14ac:dyDescent="0.25">
      <c r="A40" t="s">
        <v>791</v>
      </c>
    </row>
    <row r="41" spans="1:1" x14ac:dyDescent="0.25">
      <c r="A41" t="s">
        <v>792</v>
      </c>
    </row>
    <row r="42" spans="1:1" x14ac:dyDescent="0.25">
      <c r="A42" t="s">
        <v>793</v>
      </c>
    </row>
    <row r="43" spans="1:1" x14ac:dyDescent="0.25">
      <c r="A43" t="s">
        <v>794</v>
      </c>
    </row>
    <row r="44" spans="1:1" x14ac:dyDescent="0.25">
      <c r="A44" t="s">
        <v>795</v>
      </c>
    </row>
    <row r="45" spans="1:1" x14ac:dyDescent="0.25">
      <c r="A45" t="s">
        <v>796</v>
      </c>
    </row>
    <row r="46" spans="1:1" x14ac:dyDescent="0.25">
      <c r="A46" t="s">
        <v>797</v>
      </c>
    </row>
    <row r="47" spans="1:1" x14ac:dyDescent="0.25">
      <c r="A47" t="s">
        <v>798</v>
      </c>
    </row>
    <row r="48" spans="1:1" x14ac:dyDescent="0.25">
      <c r="A48" t="s">
        <v>799</v>
      </c>
    </row>
    <row r="50" spans="1:1" x14ac:dyDescent="0.25">
      <c r="A50" t="s">
        <v>69</v>
      </c>
    </row>
    <row r="52" spans="1:1" x14ac:dyDescent="0.25">
      <c r="A52" t="s">
        <v>70</v>
      </c>
    </row>
    <row r="53" spans="1:1" x14ac:dyDescent="0.25">
      <c r="A53" t="s">
        <v>800</v>
      </c>
    </row>
    <row r="54" spans="1:1" x14ac:dyDescent="0.25">
      <c r="A54" t="s">
        <v>801</v>
      </c>
    </row>
    <row r="55" spans="1:1" x14ac:dyDescent="0.25">
      <c r="A55" t="s">
        <v>802</v>
      </c>
    </row>
    <row r="56" spans="1:1" x14ac:dyDescent="0.25">
      <c r="A56" t="s">
        <v>803</v>
      </c>
    </row>
    <row r="57" spans="1:1" x14ac:dyDescent="0.25">
      <c r="A57" t="s">
        <v>804</v>
      </c>
    </row>
    <row r="58" spans="1:1" x14ac:dyDescent="0.25">
      <c r="A58" t="s">
        <v>805</v>
      </c>
    </row>
    <row r="59" spans="1:1" x14ac:dyDescent="0.25">
      <c r="A59" t="s">
        <v>806</v>
      </c>
    </row>
    <row r="60" spans="1:1" x14ac:dyDescent="0.25">
      <c r="A60" t="s">
        <v>807</v>
      </c>
    </row>
    <row r="61" spans="1:1" x14ac:dyDescent="0.25">
      <c r="A61" t="s">
        <v>808</v>
      </c>
    </row>
    <row r="63" spans="1:1" x14ac:dyDescent="0.25">
      <c r="A63" t="s">
        <v>74</v>
      </c>
    </row>
    <row r="64" spans="1:1" x14ac:dyDescent="0.25">
      <c r="A64" t="s">
        <v>809</v>
      </c>
    </row>
    <row r="65" spans="1:1" x14ac:dyDescent="0.25">
      <c r="A65" t="s">
        <v>810</v>
      </c>
    </row>
    <row r="66" spans="1:1" x14ac:dyDescent="0.25">
      <c r="A66" t="s">
        <v>811</v>
      </c>
    </row>
    <row r="67" spans="1:1" x14ac:dyDescent="0.25">
      <c r="A67" t="s">
        <v>812</v>
      </c>
    </row>
    <row r="68" spans="1:1" x14ac:dyDescent="0.25">
      <c r="A68" t="s">
        <v>813</v>
      </c>
    </row>
    <row r="69" spans="1:1" x14ac:dyDescent="0.25">
      <c r="A69" t="s">
        <v>814</v>
      </c>
    </row>
    <row r="70" spans="1:1" x14ac:dyDescent="0.25">
      <c r="A70" t="s">
        <v>815</v>
      </c>
    </row>
    <row r="71" spans="1:1" x14ac:dyDescent="0.25">
      <c r="A71" t="s">
        <v>816</v>
      </c>
    </row>
    <row r="72" spans="1:1" x14ac:dyDescent="0.25">
      <c r="A72" t="s">
        <v>817</v>
      </c>
    </row>
    <row r="74" spans="1:1" x14ac:dyDescent="0.25">
      <c r="A74" t="s">
        <v>78</v>
      </c>
    </row>
    <row r="75" spans="1:1" x14ac:dyDescent="0.25">
      <c r="A75" t="s">
        <v>818</v>
      </c>
    </row>
    <row r="76" spans="1:1" x14ac:dyDescent="0.25">
      <c r="A76" t="s">
        <v>819</v>
      </c>
    </row>
    <row r="77" spans="1:1" x14ac:dyDescent="0.25">
      <c r="A77" t="s">
        <v>820</v>
      </c>
    </row>
    <row r="78" spans="1:1" x14ac:dyDescent="0.25">
      <c r="A78" t="s">
        <v>821</v>
      </c>
    </row>
    <row r="79" spans="1:1" x14ac:dyDescent="0.25">
      <c r="A79" t="s">
        <v>822</v>
      </c>
    </row>
    <row r="80" spans="1:1" x14ac:dyDescent="0.25">
      <c r="A80" t="s">
        <v>823</v>
      </c>
    </row>
    <row r="81" spans="1:1" x14ac:dyDescent="0.25">
      <c r="A81" t="s">
        <v>824</v>
      </c>
    </row>
    <row r="82" spans="1:1" x14ac:dyDescent="0.25">
      <c r="A82" t="s">
        <v>825</v>
      </c>
    </row>
    <row r="83" spans="1:1" x14ac:dyDescent="0.25">
      <c r="A83" t="s">
        <v>826</v>
      </c>
    </row>
    <row r="85" spans="1:1" x14ac:dyDescent="0.25">
      <c r="A85" t="s">
        <v>82</v>
      </c>
    </row>
    <row r="86" spans="1:1" x14ac:dyDescent="0.25">
      <c r="A86" t="s">
        <v>827</v>
      </c>
    </row>
    <row r="87" spans="1:1" x14ac:dyDescent="0.25">
      <c r="A87" t="s">
        <v>828</v>
      </c>
    </row>
    <row r="88" spans="1:1" x14ac:dyDescent="0.25">
      <c r="A88" t="s">
        <v>829</v>
      </c>
    </row>
    <row r="89" spans="1:1" x14ac:dyDescent="0.25">
      <c r="A89" t="s">
        <v>830</v>
      </c>
    </row>
    <row r="90" spans="1:1" x14ac:dyDescent="0.25">
      <c r="A90" t="s">
        <v>831</v>
      </c>
    </row>
    <row r="91" spans="1:1" x14ac:dyDescent="0.25">
      <c r="A91" t="s">
        <v>832</v>
      </c>
    </row>
    <row r="92" spans="1:1" x14ac:dyDescent="0.25">
      <c r="A92" t="s">
        <v>833</v>
      </c>
    </row>
    <row r="93" spans="1:1" x14ac:dyDescent="0.25">
      <c r="A93" t="s">
        <v>834</v>
      </c>
    </row>
    <row r="94" spans="1:1" x14ac:dyDescent="0.25">
      <c r="A94" t="s">
        <v>835</v>
      </c>
    </row>
    <row r="96" spans="1:1" x14ac:dyDescent="0.25">
      <c r="A96" t="s">
        <v>86</v>
      </c>
    </row>
    <row r="97" spans="1:1" x14ac:dyDescent="0.25">
      <c r="A97" t="s">
        <v>836</v>
      </c>
    </row>
    <row r="98" spans="1:1" x14ac:dyDescent="0.25">
      <c r="A98" t="s">
        <v>837</v>
      </c>
    </row>
    <row r="99" spans="1:1" x14ac:dyDescent="0.25">
      <c r="A99" t="s">
        <v>838</v>
      </c>
    </row>
    <row r="100" spans="1:1" x14ac:dyDescent="0.25">
      <c r="A100" t="s">
        <v>839</v>
      </c>
    </row>
    <row r="101" spans="1:1" x14ac:dyDescent="0.25">
      <c r="A101" t="s">
        <v>840</v>
      </c>
    </row>
    <row r="102" spans="1:1" x14ac:dyDescent="0.25">
      <c r="A102" t="s">
        <v>841</v>
      </c>
    </row>
    <row r="103" spans="1:1" x14ac:dyDescent="0.25">
      <c r="A103" t="s">
        <v>842</v>
      </c>
    </row>
    <row r="104" spans="1:1" x14ac:dyDescent="0.25">
      <c r="A104" t="s">
        <v>843</v>
      </c>
    </row>
    <row r="106" spans="1:1" x14ac:dyDescent="0.25">
      <c r="A106" t="s">
        <v>89</v>
      </c>
    </row>
    <row r="107" spans="1:1" x14ac:dyDescent="0.25">
      <c r="A107" t="s">
        <v>90</v>
      </c>
    </row>
    <row r="108" spans="1:1" x14ac:dyDescent="0.25">
      <c r="A108" t="s">
        <v>844</v>
      </c>
    </row>
    <row r="109" spans="1:1" x14ac:dyDescent="0.25">
      <c r="A109" t="s">
        <v>845</v>
      </c>
    </row>
    <row r="110" spans="1:1" x14ac:dyDescent="0.25">
      <c r="A110" t="s">
        <v>846</v>
      </c>
    </row>
    <row r="111" spans="1:1" x14ac:dyDescent="0.25">
      <c r="A111" t="s">
        <v>847</v>
      </c>
    </row>
    <row r="112" spans="1:1" x14ac:dyDescent="0.25">
      <c r="A112" t="s">
        <v>848</v>
      </c>
    </row>
    <row r="113" spans="1:1" x14ac:dyDescent="0.25">
      <c r="A113" t="s">
        <v>849</v>
      </c>
    </row>
    <row r="115" spans="1:1" x14ac:dyDescent="0.25">
      <c r="A115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sammary</vt:lpstr>
      <vt:lpstr>full code</vt:lpstr>
      <vt:lpstr>Nc_effect on L2 norm</vt:lpstr>
      <vt:lpstr>Sheet1</vt:lpstr>
      <vt:lpstr>seed3</vt:lpstr>
      <vt:lpstr>seed4</vt:lpstr>
      <vt:lpstr>seed5</vt:lpstr>
      <vt:lpstr>seed6</vt:lpstr>
      <vt:lpstr>seed7</vt:lpstr>
      <vt:lpstr>seed8</vt:lpstr>
      <vt:lpstr>seed9</vt:lpstr>
      <vt:lpstr>seed10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omri buchman</dc:creator>
  <cp:lastModifiedBy>omri buchman</cp:lastModifiedBy>
  <dcterms:created xsi:type="dcterms:W3CDTF">2026-07-19T08:42:58Z</dcterms:created>
  <dcterms:modified xsi:type="dcterms:W3CDTF">2026-07-21T14:10:06Z</dcterms:modified>
</cp:coreProperties>
</file>